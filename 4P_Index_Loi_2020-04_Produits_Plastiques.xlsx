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2" s="2" t="inlineStr">
        <is>
          <t>https://www.au-senegal.com/IMG/pdf/loi-plastique-senegal-2020-04.pdf</t>
        </is>
      </c>
      <c r="C2" s="2" t="n">
        <v>2020</v>
      </c>
      <c r="D2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2" s="2" t="n">
        <v>1</v>
      </c>
      <c r="F2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2" s="2" t="n">
        <v>1</v>
      </c>
      <c r="H2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2" s="2" t="n">
        <v>1</v>
      </c>
      <c r="J2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2" s="2" t="n">
        <v>1</v>
      </c>
      <c r="L2" s="2" t="inlineStr">
        <is>
          <t>production, distribution, utilisation, collecte, recyclage, élimination, gouvernance / production, distribution, use, collection, recycling, disposal, governance</t>
        </is>
      </c>
      <c r="M2" s="2" t="n">
        <v>0.75</v>
      </c>
      <c r="N2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2" s="3">
        <f>AVERAGE(G2,I2,K2,M2,P2)</f>
        <v/>
      </c>
      <c r="P2" s="2" t="n">
        <v>1</v>
      </c>
      <c r="Q2" s="2" t="inlineStr">
        <is>
          <t>Governance</t>
        </is>
      </c>
      <c r="R2" s="2" t="inlineStr">
        <is>
          <t>Art. 1: 'La présente loi fixe les règles relatives à la prévention et la réduction de l impact sur l environnement et la santé humaine des produits en plastique et à la gestion écologique rationnelle des déchets plastiques' / 'This law sets rules on preventing and reducing environmental and human-health impacts of plastic products and on rational ecological management of plastic waste'.</t>
        </is>
      </c>
      <c r="S2" s="2" t="n">
        <v>1</v>
      </c>
      <c r="T2" s="2" t="n">
        <v>0.75</v>
      </c>
      <c r="U2" s="2" t="inlineStr">
        <is>
          <t>Art. 2: applies to products made from plastic materials (single-use or not) and resulting waste; Art. 42: enters into force 3 months after JO publication; Art. 41: implementing decrees.</t>
        </is>
      </c>
      <c r="V2" s="3">
        <f>AVERAGE(P2,T2)</f>
        <v/>
      </c>
      <c r="W2" s="2" t="inlineStr">
        <is>
          <t>Loi-cadre phare — remplace et abroge la Loi 2015-09 (Art. 40). / Flagship framework law — replaces and repeals Law 2015-09 (Art. 40).</t>
        </is>
      </c>
    </row>
    <row r="3">
      <c r="A3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3" s="2" t="inlineStr">
        <is>
          <t>https://www.au-senegal.com/IMG/pdf/loi-plastique-senegal-2020-04.pdf</t>
        </is>
      </c>
      <c r="C3" s="2" t="n">
        <v>2020</v>
      </c>
      <c r="D3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3" s="2" t="n">
        <v>1</v>
      </c>
      <c r="F3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3" s="2" t="n">
        <v>1</v>
      </c>
      <c r="H3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3" s="2" t="n">
        <v>1</v>
      </c>
      <c r="J3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3" s="2" t="n">
        <v>1</v>
      </c>
      <c r="L3" s="2" t="inlineStr">
        <is>
          <t>production, distribution, utilisation, collecte, recyclage, élimination, gouvernance / production, distribution, use, collection, recycling, disposal, governance</t>
        </is>
      </c>
      <c r="M3" s="2" t="n">
        <v>0.75</v>
      </c>
      <c r="N3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3" s="3">
        <f>AVERAGE(G3,I3,K3,M3,P3)</f>
        <v/>
      </c>
      <c r="P3" s="2" t="n">
        <v>1</v>
      </c>
      <c r="Q3" s="2" t="inlineStr">
        <is>
          <t>Production</t>
        </is>
      </c>
      <c r="R3" s="2" t="inlineStr">
        <is>
          <t>Art. 4: prohibits production, import, detention for sale, sale, supply and use of 'produits plastiques à usage unique ou produits plastiques jetables' / 'single-use or disposable plastic products', including cups/glasses/lids, cutlery/plates, straws/stirrers, and sachets for water/beverages.</t>
        </is>
      </c>
      <c r="S3" s="2" t="n">
        <v>1</v>
      </c>
      <c r="T3" s="2" t="n">
        <v>0.75</v>
      </c>
      <c r="U3" s="2" t="inlineStr">
        <is>
          <t>Art. 26: manufacture/import offence — 1–3 years imprisonment and FCFA 5–10 million fine; Art. 27: sale/use offence — 1–3 months and FCFA 50,000–100,000; Art. 23: seizure of prohibited products.</t>
        </is>
      </c>
      <c r="V3" s="3">
        <f>AVERAGE(P3,T3)</f>
        <v/>
      </c>
      <c r="W3" s="2" t="inlineStr">
        <is>
          <t>Interdiction centrale des plastiques à usage unique — bien au-delà des sachets fins de 2015-09. / Central single-use plastic ban — far beyond 2015-09 thin-bag scope.</t>
        </is>
      </c>
    </row>
    <row r="4">
      <c r="A4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4" s="2" t="inlineStr">
        <is>
          <t>https://www.au-senegal.com/IMG/pdf/loi-plastique-senegal-2020-04.pdf</t>
        </is>
      </c>
      <c r="C4" s="2" t="n">
        <v>2020</v>
      </c>
      <c r="D4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4" s="2" t="n">
        <v>1</v>
      </c>
      <c r="F4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4" s="2" t="n">
        <v>1</v>
      </c>
      <c r="H4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4" s="2" t="n">
        <v>1</v>
      </c>
      <c r="J4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4" s="2" t="n">
        <v>1</v>
      </c>
      <c r="L4" s="2" t="inlineStr">
        <is>
          <t>production, distribution, utilisation, collecte, recyclage, élimination, gouvernance / production, distribution, use, collection, recycling, disposal, governance</t>
        </is>
      </c>
      <c r="M4" s="2" t="n">
        <v>0.75</v>
      </c>
      <c r="N4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4" s="3">
        <f>AVERAGE(G4,I4,K4,M4,P4)</f>
        <v/>
      </c>
      <c r="P4" s="2" t="n">
        <v>1</v>
      </c>
      <c r="Q4" s="2" t="inlineStr">
        <is>
          <t>Distribution</t>
        </is>
      </c>
      <c r="R4" s="2" t="inlineStr">
        <is>
          <t>Art. 5: 'Les sacs plastiques sortie de caisse... sont interdits, quelle que soit leur épaisseur' / 'Checkout plastic bags... are prohibited regardless of thickness' (with or without handles/straps; includes biodegradable/oxo-degradable bags per exposé des motifs).</t>
        </is>
      </c>
      <c r="S4" s="2" t="n">
        <v>1</v>
      </c>
      <c r="T4" s="2" t="n">
        <v>0.75</v>
      </c>
      <c r="U4" s="2" t="inlineStr">
        <is>
          <t>Art. 5(2): exception for transparent recyclable bags used at point of sale to package food for protection/handling (producer to consumer); import subject to prior Environment Minister authorisation.</t>
        </is>
      </c>
      <c r="V4" s="3">
        <f>AVERAGE(P4,T4)</f>
        <v/>
      </c>
      <c r="W4" s="2" t="inlineStr">
        <is>
          <t>Interdiction des sacs caisse — exception emballage alimentaire primaire transparent recyclable. / Checkout bag ban — exception for transparent recyclable primary food packaging.</t>
        </is>
      </c>
    </row>
    <row r="5">
      <c r="A5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5" s="2" t="inlineStr">
        <is>
          <t>https://www.au-senegal.com/IMG/pdf/loi-plastique-senegal-2020-04.pdf</t>
        </is>
      </c>
      <c r="C5" s="2" t="n">
        <v>2020</v>
      </c>
      <c r="D5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5" s="2" t="n">
        <v>1</v>
      </c>
      <c r="F5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5" s="2" t="n">
        <v>1</v>
      </c>
      <c r="H5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5" s="2" t="n">
        <v>1</v>
      </c>
      <c r="J5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5" s="2" t="n">
        <v>1</v>
      </c>
      <c r="L5" s="2" t="inlineStr">
        <is>
          <t>production, distribution, utilisation, collecte, recyclage, élimination, gouvernance / production, distribution, use, collection, recycling, disposal, governance</t>
        </is>
      </c>
      <c r="M5" s="2" t="n">
        <v>0.75</v>
      </c>
      <c r="N5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5" s="3">
        <f>AVERAGE(G5,I5,K5,M5,P5)</f>
        <v/>
      </c>
      <c r="P5" s="2" t="n">
        <v>1</v>
      </c>
      <c r="Q5" s="2" t="inlineStr">
        <is>
          <t>Collection</t>
        </is>
      </c>
      <c r="R5" s="2" t="inlineStr">
        <is>
          <t>Art. 6: 'Une consigne est exigée à l achat de tout produit contenu dans des bouteilles en plastique' / 'A deposit is required on purchase of any product in plastic bottles'; amount set by decree, collected by seller and refunded on return of empty bottle.</t>
        </is>
      </c>
      <c r="S5" s="2" t="n">
        <v>1</v>
      </c>
      <c r="T5" s="2" t="n">
        <v>0.5</v>
      </c>
      <c r="U5" s="2" t="inlineStr">
        <is>
          <t>Art. 7: sellers must accept returned bottles and deliver to nearest collection point; Art. 33: refusal penalty — 15 days to 1 month imprisonment and FCFA 50,000–100,000.</t>
        </is>
      </c>
      <c r="V5" s="3">
        <f>AVERAGE(P5,T5)</f>
        <v/>
      </c>
      <c r="W5" s="2" t="inlineStr">
        <is>
          <t>Système de consigne bouteilles PET — instrument de collecte direct. / Plastic-bottle deposit-return system — direct collection instrument.</t>
        </is>
      </c>
    </row>
    <row r="6">
      <c r="A6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6" s="2" t="inlineStr">
        <is>
          <t>https://www.au-senegal.com/IMG/pdf/loi-plastique-senegal-2020-04.pdf</t>
        </is>
      </c>
      <c r="C6" s="2" t="n">
        <v>2020</v>
      </c>
      <c r="D6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6" s="2" t="n">
        <v>1</v>
      </c>
      <c r="F6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6" s="2" t="n">
        <v>1</v>
      </c>
      <c r="H6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6" s="2" t="n">
        <v>1</v>
      </c>
      <c r="J6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6" s="2" t="n">
        <v>1</v>
      </c>
      <c r="L6" s="2" t="inlineStr">
        <is>
          <t>production, distribution, utilisation, collecte, recyclage, élimination, gouvernance / production, distribution, use, collection, recycling, disposal, governance</t>
        </is>
      </c>
      <c r="M6" s="2" t="n">
        <v>0.75</v>
      </c>
      <c r="N6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6" s="3">
        <f>AVERAGE(G6,I6,K6,M6,P6)</f>
        <v/>
      </c>
      <c r="P6" s="2" t="n">
        <v>1</v>
      </c>
      <c r="Q6" s="2" t="inlineStr">
        <is>
          <t>Collection</t>
        </is>
      </c>
      <c r="R6" s="2" t="inlineStr">
        <is>
          <t>Art. 8: producers must establish collection points for plastic bottles and 'valoriser ou faire valoriser' / 'recover or have recovered' collected bottles prioritising reuse, recycling then other recovery.</t>
        </is>
      </c>
      <c r="S6" s="2" t="n">
        <v>1</v>
      </c>
      <c r="T6" s="2" t="n">
        <v>0.5</v>
      </c>
      <c r="U6" s="2" t="inlineStr">
        <is>
          <t>Arts. 9–10: biannual sectoral report to Environment Minister (market vs collected volumes, collection points, gap measures); Art. 34: insufficient collection points — 3–6 months and FCFA 5–10 million.</t>
        </is>
      </c>
      <c r="V6" s="3">
        <f>AVERAGE(P6,T6)</f>
        <v/>
      </c>
      <c r="W6" s="2" t="inlineStr">
        <is>
          <t>Obligations producteurs bouteilles — points de collecte et valorisation. / Bottle-producer obligations — collection points and recovery.</t>
        </is>
      </c>
    </row>
    <row r="7">
      <c r="A7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7" s="2" t="inlineStr">
        <is>
          <t>https://www.au-senegal.com/IMG/pdf/loi-plastique-senegal-2020-04.pdf</t>
        </is>
      </c>
      <c r="C7" s="2" t="n">
        <v>2020</v>
      </c>
      <c r="D7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7" s="2" t="n">
        <v>1</v>
      </c>
      <c r="F7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7" s="2" t="n">
        <v>1</v>
      </c>
      <c r="H7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7" s="2" t="n">
        <v>1</v>
      </c>
      <c r="J7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7" s="2" t="n">
        <v>1</v>
      </c>
      <c r="L7" s="2" t="inlineStr">
        <is>
          <t>production, distribution, utilisation, collecte, recyclage, élimination, gouvernance / production, distribution, use, collection, recycling, disposal, governance</t>
        </is>
      </c>
      <c r="M7" s="2" t="n">
        <v>0.75</v>
      </c>
      <c r="N7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7" s="3">
        <f>AVERAGE(G7,I7,K7,M7,P7)</f>
        <v/>
      </c>
      <c r="P7" s="2" t="n">
        <v>1</v>
      </c>
      <c r="Q7" s="2" t="inlineStr">
        <is>
          <t>Governance</t>
        </is>
      </c>
      <c r="R7" s="2" t="inlineStr">
        <is>
          <t>Art. 11: producers placing plastic products on the market are 'responsables de la gestion des déchets générés par ces produits' / 'responsible for managing waste generated by these products' (extended producer responsibility); may comply via individual programmes or eco-organisms.</t>
        </is>
      </c>
      <c r="S7" s="2" t="n">
        <v>1</v>
      </c>
      <c r="T7" s="2" t="n">
        <v>0.5</v>
      </c>
      <c r="U7" s="2" t="inlineStr">
        <is>
          <t>Art. 35: EPR non-compliance — 1–3 years imprisonment and FCFA 10–20 million; Arts. 12–14: approved individual programmes (3-year renewable) and accredited eco-organisms (max 10 years).</t>
        </is>
      </c>
      <c r="V7" s="3">
        <f>AVERAGE(P7,T7)</f>
        <v/>
      </c>
      <c r="W7" s="2" t="inlineStr">
        <is>
          <t>REP/EPR — pilier de la gouvernance déchets plastiques post-consommation. / EPR — pillar of post-consumer plastic-waste governance.</t>
        </is>
      </c>
    </row>
    <row r="8">
      <c r="A8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8" s="2" t="inlineStr">
        <is>
          <t>https://www.au-senegal.com/IMG/pdf/loi-plastique-senegal-2020-04.pdf</t>
        </is>
      </c>
      <c r="C8" s="2" t="n">
        <v>2020</v>
      </c>
      <c r="D8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8" s="2" t="n">
        <v>1</v>
      </c>
      <c r="F8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8" s="2" t="n">
        <v>1</v>
      </c>
      <c r="H8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8" s="2" t="n">
        <v>1</v>
      </c>
      <c r="J8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8" s="2" t="n">
        <v>1</v>
      </c>
      <c r="L8" s="2" t="inlineStr">
        <is>
          <t>production, distribution, utilisation, collecte, recyclage, élimination, gouvernance / production, distribution, use, collection, recycling, disposal, governance</t>
        </is>
      </c>
      <c r="M8" s="2" t="n">
        <v>0.75</v>
      </c>
      <c r="N8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8" s="3">
        <f>AVERAGE(G8,I8,K8,M8,P8)</f>
        <v/>
      </c>
      <c r="P8" s="2" t="n">
        <v>0.75</v>
      </c>
      <c r="Q8" s="2" t="inlineStr">
        <is>
          <t>Collection</t>
        </is>
      </c>
      <c r="R8" s="2" t="inlineStr">
        <is>
          <t>Art. 12: individual collection/treatment programmes approved by Environment Ministerial order for 3 years (renewable); minimum requirements by order; periodic sworn-agent controls; suspension up to 3 months or permanent cessation for non-compliance.</t>
        </is>
      </c>
      <c r="S8" s="2" t="n">
        <v>1</v>
      </c>
      <c r="T8" s="2" t="n">
        <v>0.5</v>
      </c>
      <c r="U8" s="2" t="inlineStr">
        <is>
          <t>Art. 13: eco-organisms improve selective collection and treatment; 10-year max accreditation; charter with assigned objectives; Art. 14: annual activity report by 30 April.</t>
        </is>
      </c>
      <c r="V8" s="3">
        <f>AVERAGE(P8,T8)</f>
        <v/>
      </c>
      <c r="W8" s="2" t="inlineStr">
        <is>
          <t>Mécanismes opérationnels REP — programmes individuels et éco-organismes. / Operational EPR mechanisms — individual programmes and eco-organisms.</t>
        </is>
      </c>
    </row>
    <row r="9">
      <c r="A9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9" s="2" t="inlineStr">
        <is>
          <t>https://www.au-senegal.com/IMG/pdf/loi-plastique-senegal-2020-04.pdf</t>
        </is>
      </c>
      <c r="C9" s="2" t="n">
        <v>2020</v>
      </c>
      <c r="D9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9" s="2" t="n">
        <v>1</v>
      </c>
      <c r="F9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9" s="2" t="n">
        <v>1</v>
      </c>
      <c r="H9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9" s="2" t="n">
        <v>1</v>
      </c>
      <c r="J9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9" s="2" t="n">
        <v>1</v>
      </c>
      <c r="L9" s="2" t="inlineStr">
        <is>
          <t>production, distribution, utilisation, collecte, recyclage, élimination, gouvernance / production, distribution, use, collection, recycling, disposal, governance</t>
        </is>
      </c>
      <c r="M9" s="2" t="n">
        <v>0.75</v>
      </c>
      <c r="N9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9" s="3">
        <f>AVERAGE(G9,I9,K9,M9,P9)</f>
        <v/>
      </c>
      <c r="P9" s="2" t="n">
        <v>1</v>
      </c>
      <c r="Q9" s="2" t="inlineStr">
        <is>
          <t>Production</t>
        </is>
      </c>
      <c r="R9" s="2" t="inlineStr">
        <is>
          <t>Art. 15: producers must reduce waste at source and market products that, once waste, can be 'recyclés ou valorisés' / 'recycled or recovered' in environmentally sound conditions.</t>
        </is>
      </c>
      <c r="S9" s="2" t="n">
        <v>1</v>
      </c>
      <c r="T9" s="2" t="n">
        <v>0.5</v>
      </c>
      <c r="U9" s="2" t="inlineStr">
        <is>
          <t>Exposé des motifs: systemic approach — production reduction, resource efficiency, circular economy transition.</t>
        </is>
      </c>
      <c r="V9" s="3">
        <f>AVERAGE(P9,T9)</f>
        <v/>
      </c>
      <c r="W9" s="2" t="inlineStr">
        <is>
          <t>Prévention à la source — réduction des déchets plastiques en amont. / Source prevention — upstream plastic-waste reduction.</t>
        </is>
      </c>
    </row>
    <row r="10">
      <c r="A10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10" s="2" t="inlineStr">
        <is>
          <t>https://www.au-senegal.com/IMG/pdf/loi-plastique-senegal-2020-04.pdf</t>
        </is>
      </c>
      <c r="C10" s="2" t="n">
        <v>2020</v>
      </c>
      <c r="D10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10" s="2" t="n">
        <v>1</v>
      </c>
      <c r="F10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10" s="2" t="n">
        <v>1</v>
      </c>
      <c r="H10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10" s="2" t="n">
        <v>1</v>
      </c>
      <c r="J10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10" s="2" t="n">
        <v>1</v>
      </c>
      <c r="L10" s="2" t="inlineStr">
        <is>
          <t>production, distribution, utilisation, collecte, recyclage, élimination, gouvernance / production, distribution, use, collection, recycling, disposal, governance</t>
        </is>
      </c>
      <c r="M10" s="2" t="n">
        <v>0.75</v>
      </c>
      <c r="N10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10" s="3">
        <f>AVERAGE(G10,I10,K10,M10,P10)</f>
        <v/>
      </c>
      <c r="P10" s="2" t="n">
        <v>1</v>
      </c>
      <c r="Q10" s="2" t="inlineStr">
        <is>
          <t>Production</t>
        </is>
      </c>
      <c r="R10" s="2" t="inlineStr">
        <is>
          <t>Art. 16: when technically feasible and economically viable, producers must integrate 'une part de plastique recyclé dans les produits plastiques neufs' / 'a share of recycled plastic in new plastic products'; decree sets national recycled-content targets and deadlines.</t>
        </is>
      </c>
      <c r="S10" s="2" t="n">
        <v>1</v>
      </c>
      <c r="T10" s="2" t="n">
        <v>0.5</v>
      </c>
      <c r="U10" s="2" t="inlineStr">
        <is>
          <t>Art. 32: non-compliance — 1–3 months imprisonment and FCFA 5–10 million fine when technically/economically viable.</t>
        </is>
      </c>
      <c r="V10" s="3">
        <f>AVERAGE(P10,T10)</f>
        <v/>
      </c>
      <c r="W10" s="2" t="inlineStr">
        <is>
          <t>Objectifs de contenu recyclé — levier économie circulaire. / Recycled-content targets — circular-economy lever.</t>
        </is>
      </c>
    </row>
    <row r="11">
      <c r="A11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11" s="2" t="inlineStr">
        <is>
          <t>https://www.au-senegal.com/IMG/pdf/loi-plastique-senegal-2020-04.pdf</t>
        </is>
      </c>
      <c r="C11" s="2" t="n">
        <v>2020</v>
      </c>
      <c r="D11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11" s="2" t="n">
        <v>1</v>
      </c>
      <c r="F11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11" s="2" t="n">
        <v>1</v>
      </c>
      <c r="H11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11" s="2" t="n">
        <v>1</v>
      </c>
      <c r="J11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11" s="2" t="n">
        <v>1</v>
      </c>
      <c r="L11" s="2" t="inlineStr">
        <is>
          <t>production, distribution, utilisation, collecte, recyclage, élimination, gouvernance / production, distribution, use, collection, recycling, disposal, governance</t>
        </is>
      </c>
      <c r="M11" s="2" t="n">
        <v>0.75</v>
      </c>
      <c r="N11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11" s="3">
        <f>AVERAGE(G11,I11,K11,M11,P11)</f>
        <v/>
      </c>
      <c r="P11" s="2" t="n">
        <v>0.75</v>
      </c>
      <c r="Q11" s="2" t="inlineStr">
        <is>
          <t>Distribution</t>
        </is>
      </c>
      <c r="R11" s="2" t="inlineStr">
        <is>
          <t>Art. 17: plastic products placed on the market must bear visible, legible, indelible marking on packaging or product indicating producer identity/company name and address.</t>
        </is>
      </c>
      <c r="S11" s="2" t="n">
        <v>1</v>
      </c>
      <c r="T11" s="2" t="n">
        <v>0.5</v>
      </c>
      <c r="U11" s="2" t="inlineStr">
        <is>
          <t>Art. 30: marking breach — 3–6 months imprisonment and FCFA 2–5 million fine.</t>
        </is>
      </c>
      <c r="V11" s="3">
        <f>AVERAGE(P11,T11)</f>
        <v/>
      </c>
      <c r="W11" s="2" t="inlineStr">
        <is>
          <t>Traçabilité producteur — soutient le contrôle et la REP. / Producer traceability — supports enforcement and EPR.</t>
        </is>
      </c>
    </row>
    <row r="12">
      <c r="A12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12" s="2" t="inlineStr">
        <is>
          <t>https://www.au-senegal.com/IMG/pdf/loi-plastique-senegal-2020-04.pdf</t>
        </is>
      </c>
      <c r="C12" s="2" t="n">
        <v>2020</v>
      </c>
      <c r="D12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12" s="2" t="n">
        <v>1</v>
      </c>
      <c r="F12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12" s="2" t="n">
        <v>1</v>
      </c>
      <c r="H12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12" s="2" t="n">
        <v>1</v>
      </c>
      <c r="J12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12" s="2" t="n">
        <v>1</v>
      </c>
      <c r="L12" s="2" t="inlineStr">
        <is>
          <t>production, distribution, utilisation, collecte, recyclage, élimination, gouvernance / production, distribution, use, collection, recycling, disposal, governance</t>
        </is>
      </c>
      <c r="M12" s="2" t="n">
        <v>0.75</v>
      </c>
      <c r="N12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12" s="3">
        <f>AVERAGE(G12,I12,K12,M12,P12)</f>
        <v/>
      </c>
      <c r="P12" s="2" t="n">
        <v>0.75</v>
      </c>
      <c r="Q12" s="2" t="inlineStr">
        <is>
          <t>Disposal</t>
        </is>
      </c>
      <c r="R12" s="2" t="inlineStr">
        <is>
          <t>Art. 18: consumers and end-users must, when plastic products become waste, 'les acheminer vers les points de collectes aménagés à cet effet' / 'deliver them to designated collection points'.</t>
        </is>
      </c>
      <c r="S12" s="2" t="n">
        <v>1</v>
      </c>
      <c r="T12" s="2" t="n">
        <v>0.5</v>
      </c>
      <c r="U12" s="2" t="inlineStr">
        <is>
          <t>Art. 37: abandoning plastic waste outside collection points — 15 days to 1 month imprisonment and FCFA 20,000–50,000.</t>
        </is>
      </c>
      <c r="V12" s="3">
        <f>AVERAGE(P12,T12)</f>
        <v/>
      </c>
      <c r="W12" s="2" t="inlineStr">
        <is>
          <t>Obligation consommateur — acheminement vers points de collecte. / Consumer obligation — deliver to collection points.</t>
        </is>
      </c>
    </row>
    <row r="13">
      <c r="A13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13" s="2" t="inlineStr">
        <is>
          <t>https://www.au-senegal.com/IMG/pdf/loi-plastique-senegal-2020-04.pdf</t>
        </is>
      </c>
      <c r="C13" s="2" t="n">
        <v>2020</v>
      </c>
      <c r="D13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13" s="2" t="n">
        <v>1</v>
      </c>
      <c r="F13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13" s="2" t="n">
        <v>1</v>
      </c>
      <c r="H13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13" s="2" t="n">
        <v>1</v>
      </c>
      <c r="J13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13" s="2" t="n">
        <v>1</v>
      </c>
      <c r="L13" s="2" t="inlineStr">
        <is>
          <t>production, distribution, utilisation, collecte, recyclage, élimination, gouvernance / production, distribution, use, collection, recycling, disposal, governance</t>
        </is>
      </c>
      <c r="M13" s="2" t="n">
        <v>0.75</v>
      </c>
      <c r="N13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13" s="3">
        <f>AVERAGE(G13,I13,K13,M13,P13)</f>
        <v/>
      </c>
      <c r="P13" s="2" t="n">
        <v>1</v>
      </c>
      <c r="Q13" s="2" t="inlineStr">
        <is>
          <t>Governance</t>
        </is>
      </c>
      <c r="R13" s="2" t="inlineStr">
        <is>
          <t>Art. 19: 'L importation de déchets plastiques sur le territoire national est interdite' / 'Import of plastic waste into national territory is prohibited'; illegal imports seized and re-exported at importer's cost. Art. 20: exports only with Environment Minister authorisation to countries with adequate treatment facilities.</t>
        </is>
      </c>
      <c r="S13" s="2" t="n">
        <v>1</v>
      </c>
      <c r="T13" s="2" t="n">
        <v>0.5</v>
      </c>
      <c r="U13" s="2" t="inlineStr">
        <is>
          <t>Art. 28: illegal import — 3–5 years and FCFA 50–100 million; Art. 29: unauthorised export — same penalties.</t>
        </is>
      </c>
      <c r="V13" s="3">
        <f>AVERAGE(P13,T13)</f>
        <v/>
      </c>
      <c r="W13" s="2" t="inlineStr">
        <is>
          <t>Contrôle transfrontalier des déchets plastiques — alignement Convention de Bâle. / Cross-border plastic-waste control — Basel Convention alignment.</t>
        </is>
      </c>
    </row>
    <row r="14">
      <c r="A14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14" s="2" t="inlineStr">
        <is>
          <t>https://www.au-senegal.com/IMG/pdf/loi-plastique-senegal-2020-04.pdf</t>
        </is>
      </c>
      <c r="C14" s="2" t="n">
        <v>2020</v>
      </c>
      <c r="D14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14" s="2" t="n">
        <v>1</v>
      </c>
      <c r="F14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14" s="2" t="n">
        <v>1</v>
      </c>
      <c r="H14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14" s="2" t="n">
        <v>1</v>
      </c>
      <c r="J14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14" s="2" t="n">
        <v>1</v>
      </c>
      <c r="L14" s="2" t="inlineStr">
        <is>
          <t>production, distribution, utilisation, collecte, recyclage, élimination, gouvernance / production, distribution, use, collection, recycling, disposal, governance</t>
        </is>
      </c>
      <c r="M14" s="2" t="n">
        <v>0.75</v>
      </c>
      <c r="N14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14" s="3">
        <f>AVERAGE(G14,I14,K14,M14,P14)</f>
        <v/>
      </c>
      <c r="P14" s="2" t="n">
        <v>0.75</v>
      </c>
      <c r="Q14" s="2" t="inlineStr">
        <is>
          <t>Valorisation</t>
        </is>
      </c>
      <c r="R14" s="2" t="inlineStr">
        <is>
          <t>Art. 21: establishes a 'prix plancher' / 'floor price' at which recycling enterprises must buy plastic waste per kg (set by decree). Art. 22: institutes 'taxe plastique' / 'plastic tax' on non-recyclable plastic products (product list, rates and collection by decree).</t>
        </is>
      </c>
      <c r="S14" s="2" t="n">
        <v>1</v>
      </c>
      <c r="T14" s="2" t="n">
        <v>0.5</v>
      </c>
      <c r="U14" s="2" t="inlineStr">
        <is>
          <t>Art. 31: buying below floor price — FCFA 2–5 million fine; tax incentivises recyclable materials.</t>
        </is>
      </c>
      <c r="V14" s="3">
        <f>AVERAGE(P14,T14)</f>
        <v/>
      </c>
      <c r="W14" s="2" t="inlineStr">
        <is>
          <t>Instruments financiers/fiscaux — soutien au recyclage et pénalisation du non-recyclable. / Financial/fiscal instruments — support recycling and penalise non-recyclables.</t>
        </is>
      </c>
    </row>
    <row r="15">
      <c r="A15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15" s="2" t="inlineStr">
        <is>
          <t>https://www.au-senegal.com/IMG/pdf/loi-plastique-senegal-2020-04.pdf</t>
        </is>
      </c>
      <c r="C15" s="2" t="n">
        <v>2020</v>
      </c>
      <c r="D15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15" s="2" t="n">
        <v>1</v>
      </c>
      <c r="F15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15" s="2" t="n">
        <v>1</v>
      </c>
      <c r="H15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15" s="2" t="n">
        <v>1</v>
      </c>
      <c r="J15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15" s="2" t="n">
        <v>1</v>
      </c>
      <c r="L15" s="2" t="inlineStr">
        <is>
          <t>production, distribution, utilisation, collecte, recyclage, élimination, gouvernance / production, distribution, use, collection, recycling, disposal, governance</t>
        </is>
      </c>
      <c r="M15" s="2" t="n">
        <v>0.75</v>
      </c>
      <c r="N15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15" s="3">
        <f>AVERAGE(G15,I15,K15,M15,P15)</f>
        <v/>
      </c>
      <c r="P15" s="2" t="n">
        <v>1</v>
      </c>
      <c r="Q15" s="2" t="inlineStr">
        <is>
          <t>Governance</t>
        </is>
      </c>
      <c r="R15" s="2" t="inlineStr">
        <is>
          <t>Art. 23: prohibited products held or placed on the market are seized by control agents (Art. 25: Environment, Health, Industry, Commerce, Finance ministries). Art. 24: financial settlement for offences under Arts. 26, 27, 30, 31, 33, 37.</t>
        </is>
      </c>
      <c r="S15" s="2" t="n">
        <v>1</v>
      </c>
      <c r="T15" s="2" t="n">
        <v>0.75</v>
      </c>
      <c r="U15" s="2" t="inlineStr">
        <is>
          <t>Art. 39: corporate penalties include fines up to 5× individual max, closure up to 5 years, confiscation, publication.</t>
        </is>
      </c>
      <c r="V15" s="3">
        <f>AVERAGE(P15,T15)</f>
        <v/>
      </c>
      <c r="W15" s="2" t="inlineStr">
        <is>
          <t>Mécanismes d'application — saisie, transaction et sanctions personnes morales. / Enforcement mechanisms — seizure, settlement and corporate sanctions.</t>
        </is>
      </c>
    </row>
    <row r="16">
      <c r="A16" s="2" t="inlineStr">
        <is>
          <t>Loi n° 2020-04 du 8 janvier 2020 relative à la prévention et à la réduction de l'incidence sur l'environnement des produits plastiques / Law No. 2020-04 of 8 January 2020 on prevention and reduction of environmental impacts of plastic products</t>
        </is>
      </c>
      <c r="B16" s="2" t="inlineStr">
        <is>
          <t>https://www.au-senegal.com/IMG/pdf/loi-plastique-senegal-2020-04.pdf</t>
        </is>
      </c>
      <c r="C16" s="2" t="n">
        <v>2020</v>
      </c>
      <c r="D16" s="2" t="inlineStr">
        <is>
          <t>Loi phare sur les plastiques remplaçant la Loi 2015-09 : interdire les produits plastiques à usage unique/jetables et les sacs sortie de caisse ; instaurer la consigne sur les bouteilles en plastique ; mettre en place la responsabilité élargie des producteurs (REP/EPR) ; fixer des objectifs de contenu recyclé ; interdire l'importation de déchets plastiques ; instituer un prix plancher pour le recyclage et une taxe plastique sur les produits non recyclables. / Flagship plastics law replacing Law 2015-09: ban single-use/disposable plastic products and checkout bags; establish plastic-bottle deposit-return; implement extended producer responsibility (EPR); set recycled-content targets; ban plastic-waste imports; institute recycling floor price and plastic tax on non-recyclable products.</t>
        </is>
      </c>
      <c r="E16" s="2" t="n">
        <v>1</v>
      </c>
      <c r="F16" s="2" t="inlineStr">
        <is>
          <t>Art. 4: ban on 'produits plastiques à usage unique ou produits plastiques jetables' / 'single-use or disposable plastic products' (cups, cutlery, straws, water/beverage sachets); Art. 5: ban on 'sacs plastiques sortie de caisse' / 'checkout plastic bags' regardless of thickness; Art. 16: recycled-content targets set by decree; Art. 19: 'importation de déchets plastiques... interdite' / 'import of plastic waste... prohibited'.</t>
        </is>
      </c>
      <c r="G16" s="2" t="n">
        <v>1</v>
      </c>
      <c r="H16" s="2" t="inlineStr">
        <is>
          <t>Loi adoptée par l'Assemblée nationale le 30 décembre 2019 et promulguée le 8 janvier 2020 en tant que Loi n° 2020-04. Il s'agit d'une loi parlementaire (≠0.75), loi phare nationale sur les produits plastiques. / Law adopted by the National Assembly on 30 December 2019 and promulgated on 8 January 2020 as Law No. 2020-04. It is parliamentary legislation (≠0.75), the national flagship law on plastic products.</t>
        </is>
      </c>
      <c r="I16" s="2" t="n">
        <v>1</v>
      </c>
      <c r="J16" s="2" t="inlineStr">
        <is>
          <t>plasturgie, fabrication, importation, commerce de détail, distribution, consommation, gestion des déchets, recyclage, environnement, santé publique / plastics manufacturing, production, import, retail, distribution, consumption, waste management, recycling, environment, public health</t>
        </is>
      </c>
      <c r="K16" s="2" t="n">
        <v>1</v>
      </c>
      <c r="L16" s="2" t="inlineStr">
        <is>
          <t>production, distribution, utilisation, collecte, recyclage, élimination, gouvernance / production, distribution, use, collection, recycling, disposal, governance</t>
        </is>
      </c>
      <c r="M16" s="2" t="n">
        <v>0.75</v>
      </c>
      <c r="N16" s="2" t="inlineStr">
        <is>
          <t>Art. 21: 'prix plancher' / 'floor price' for recyclers buying plastic waste (set by decree); Art. 22: 'taxe plastique' / 'plastic tax' on non-recyclable plastic products (list and rates by decree); Arts. 26–39: criminal fines up to FCFA 100,000,000 and imprisonment up to 5 years; Art. 24: financial settlement option for certain offences.</t>
        </is>
      </c>
      <c r="O16" s="3">
        <f>AVERAGE(G16,I16,K16,M16,P16)</f>
        <v/>
      </c>
      <c r="P16" s="2" t="n">
        <v>1</v>
      </c>
      <c r="Q16" s="2" t="inlineStr">
        <is>
          <t>Governance</t>
        </is>
      </c>
      <c r="R16" s="2" t="inlineStr">
        <is>
          <t>Art. 40: 'La loi n° 2015-09... est abrogée' / 'Law No. 2015-09... is repealed' (thin plastic-bag ban replaced by comprehensive plastics framework).</t>
        </is>
      </c>
      <c r="S16" s="2" t="n">
        <v>1</v>
      </c>
      <c r="T16" s="2" t="n">
        <v>1</v>
      </c>
      <c r="U16" s="2" t="inlineStr">
        <is>
          <t>Promulgated 8 January 2020; effective 3 months after JO publication; current flagship plastics law in Senegal.</t>
        </is>
      </c>
      <c r="V16" s="3">
        <f>AVERAGE(P16,T16)</f>
        <v/>
      </c>
      <c r="W16" s="2" t="inlineStr">
        <is>
          <t>Abrogation Loi 2015-09 — instrument_in_force=1 pour toutes les lignes de la Loi 2020-04. / Repeal of Law 2015-09 — instrument_in_force=1 for all Law 2020-04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2026-07-22T12:45:59Z</dcterms:created>
  <dcterms:modified xmlns:dcterms="http://purl.org/dc/terms/" xmlns:xsi="http://www.w3.org/2001/XMLSchema-instance" xsi:type="dcterms:W3CDTF">2026-07-22T12:45:59Z</dcterms:modified>
</cp:coreProperties>
</file>