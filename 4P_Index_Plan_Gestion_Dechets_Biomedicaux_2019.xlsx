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2" customWidth="1" min="2" max="2"/>
    <col width="10" customWidth="1" min="3" max="3"/>
    <col width="52" customWidth="1" min="4" max="4"/>
    <col width="12" customWidth="1" min="5" max="5"/>
    <col width="60" customWidth="1" min="6" max="6"/>
    <col width="10" customWidth="1" min="7" max="7"/>
    <col width="52" customWidth="1" min="8" max="8"/>
    <col width="14" customWidth="1" min="9" max="9"/>
    <col width="40" customWidth="1" min="10" max="10"/>
    <col width="14" customWidth="1" min="11" max="11"/>
    <col width="36" customWidth="1" min="12" max="12"/>
    <col width="12" customWidth="1" min="13" max="13"/>
    <col width="52" customWidth="1" min="14" max="14"/>
    <col width="12" customWidth="1" min="15" max="15"/>
    <col width="14" customWidth="1" min="16" max="16"/>
    <col width="22" customWidth="1" min="17" max="17"/>
    <col width="60" customWidth="1" min="18" max="18"/>
    <col width="14" customWidth="1" min="19" max="19"/>
    <col width="18" customWidth="1" min="20" max="20"/>
    <col width="52" customWidth="1" min="21" max="21"/>
    <col width="14" customWidth="1" min="22" max="22"/>
    <col width="5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Plan de gestion des déchets biomédicaux — réactualisation, mai 2019 (REDISSE / ISMEA) / Biomedical waste management plan — updated, May 2019 (REDISSE / ISMEA)</t>
        </is>
      </c>
      <c r="B2" s="2" t="inlineStr">
        <is>
          <t>https://www.sante.gouv.sn/sites/default/files/plan_gestion_dechets_biom%C3%A9dicaux_0.pdf</t>
        </is>
      </c>
      <c r="C2" s="2" t="n">
        <v>2019</v>
      </c>
      <c r="D2" s="2" t="inlineStr">
        <is>
          <t>Réactualiser le PGDBM (2016) pour les projets Banque mondiale REDISSE et ISMEA, en définissant ségrégation à la source, équipements de pré-collecte/collecte (poubelles, sachets plastiques codés, boîtes de sécurité), infrastructures de traitement (incinérateurs, stérilisateurs, autoclaves/broyeurs) et cadre institutionnel de gestion des DBM dans les formations sanitaires — incluant explicitement les déchets cliniques en contenants plastiques (sacs noirs/jaunes/rouges, safety boxes) et l'interdiction d'incinérer les plastiques halogénés (PVC). / Update the 2016 biomedical waste management plan (PGDBM) for World Bank REDISSE and ISMEA projects, defining source segregation, pre-collection/collection equipment (bins, colour-coded plastic bags, safety boxes), treatment infrastructure (incinerators, sterilisers, autoclaves/shredders) and institutional framework for biomedical waste in health facilities — explicitly covering clinical waste in plastic containers (black/yellow/red bags, safety boxes) and the ban on incinerating halogenated plastics (PVC).</t>
        </is>
      </c>
      <c r="E2" s="2" t="n">
        <v>0.75</v>
      </c>
      <c r="F2" s="2" t="inlineStr">
        <is>
          <t>§V.B: 'tri correctement dès leur production afin de les mettre immédiatement dans le bon contenant' / 'sort correctly at production to place immediately in the right container'; §IV.E: colour-coded receptacles — 'sacs noirs' / 'black bags' (general), 'sacs rouges' / 'red bags' (pathological), 'boîtes de sécurité' / 'safety boxes' (OPCT); WHO benchmark: ~15% contaminated vs 85% non-hazardous waste requiring source separation.</t>
        </is>
      </c>
      <c r="G2" s="2" t="n">
        <v>0.5</v>
      </c>
      <c r="H2" s="2" t="inlineStr">
        <is>
          <t>Plan national/programme opérationnel réactualisé en mai 2019 sous MSAS, financé par REDISSE et ISMEA. Document de planification et d'appui projet (≠1.0 loi, ≠0.75 arrêté/décret). / National plan/operational programme updated May 2019 under MSAS, funded by REDISSE and ISMEA. Planning and project-support document (≠1.0 law, ≠0.75 order/decree).</t>
        </is>
      </c>
      <c r="I2" s="2" t="n">
        <v>1</v>
      </c>
      <c r="J2" s="2" t="inlineStr">
        <is>
          <t>santé, environnement, assainissement, secteur privé, collectivités locales, formation sanitaire / health, environment, sanitation, private sector, local government, health facilities</t>
        </is>
      </c>
      <c r="K2" s="2" t="n">
        <v>0.25</v>
      </c>
      <c r="L2" s="2" t="inlineStr">
        <is>
          <t>utilisation, collecte, stockage, transport, traitement, élimination / use, collection, storage, transport, treatment, disposal</t>
        </is>
      </c>
      <c r="M2" s="2" t="n">
        <v>0.75</v>
      </c>
      <c r="N2" s="2" t="inlineStr">
        <is>
          <t>§V.1: detailed cost table — e.g. 2,210 units pre-collection equipment (FCFA 22.1M REDISSE + 17.5M ISMEA); 2,000 plastic waste bags (FCFA 400,000); needle shredders, DBM sterilisers, Montfort/electromechanical incinerators; PRONALIN/CLIN/CHSCT training budgets. Plan funds priority activities only, not full national strategy.</t>
        </is>
      </c>
      <c r="O2" s="3">
        <f>AVERAGE(G2,I2,K2,M2,P2)</f>
        <v/>
      </c>
      <c r="P2" s="2" t="n">
        <v>0.5</v>
      </c>
      <c r="Q2" s="2" t="inlineStr">
        <is>
          <t>Governance</t>
        </is>
      </c>
      <c r="R2" s="2" t="inlineStr">
        <is>
          <t>Executive summary: May 2019 update of 2016 PGDBM harmonising REDISSE and ISMEA World Bank projects; national DBM production ~124.2 m³/day across 3,084 health structures; plan covers investment needs, capacity building and coordination mechanisms.</t>
        </is>
      </c>
      <c r="S2" s="2" t="n">
        <v>1</v>
      </c>
      <c r="T2" s="2" t="n">
        <v>0.5</v>
      </c>
      <c r="U2" s="2" t="inlineStr">
        <is>
          <t>Led by MSAS/PRONALIN; implementation in project-supported health facilities; government to continue activities beyond project end via national programmes or development partners.</t>
        </is>
      </c>
      <c r="V2" s="3">
        <f>AVERAGE(P2,T2)</f>
        <v/>
      </c>
      <c r="W2" s="2" t="inlineStr">
        <is>
          <t>Plan opérationnel projet — réactualisation 2016 pour REDISSE/ISMEA. / Project operational plan — 2016 update for REDISSE/ISMEA.</t>
        </is>
      </c>
    </row>
    <row r="3">
      <c r="A3" s="2" t="inlineStr">
        <is>
          <t>Plan de gestion des déchets biomédicaux — réactualisation, mai 2019 (REDISSE / ISMEA) / Biomedical waste management plan — updated, May 2019 (REDISSE / ISMEA)</t>
        </is>
      </c>
      <c r="B3" s="2" t="inlineStr">
        <is>
          <t>https://www.sante.gouv.sn/sites/default/files/plan_gestion_dechets_biom%C3%A9dicaux_0.pdf</t>
        </is>
      </c>
      <c r="C3" s="2" t="n">
        <v>2019</v>
      </c>
      <c r="D3" s="2" t="inlineStr">
        <is>
          <t>Réactualiser le PGDBM (2016) pour les projets Banque mondiale REDISSE et ISMEA, en définissant ségrégation à la source, équipements de pré-collecte/collecte (poubelles, sachets plastiques codés, boîtes de sécurité), infrastructures de traitement (incinérateurs, stérilisateurs, autoclaves/broyeurs) et cadre institutionnel de gestion des DBM dans les formations sanitaires — incluant explicitement les déchets cliniques en contenants plastiques (sacs noirs/jaunes/rouges, safety boxes) et l'interdiction d'incinérer les plastiques halogénés (PVC). / Update the 2016 biomedical waste management plan (PGDBM) for World Bank REDISSE and ISMEA projects, defining source segregation, pre-collection/collection equipment (bins, colour-coded plastic bags, safety boxes), treatment infrastructure (incinerators, sterilisers, autoclaves/shredders) and institutional framework for biomedical waste in health facilities — explicitly covering clinical waste in plastic containers (black/yellow/red bags, safety boxes) and the ban on incinerating halogenated plastics (PVC).</t>
        </is>
      </c>
      <c r="E3" s="2" t="n">
        <v>0.75</v>
      </c>
      <c r="F3" s="2" t="inlineStr">
        <is>
          <t>§V.B: 'tri correctement dès leur production afin de les mettre immédiatement dans le bon contenant' / 'sort correctly at production to place immediately in the right container'; §IV.E: colour-coded receptacles — 'sacs noirs' / 'black bags' (general), 'sacs rouges' / 'red bags' (pathological), 'boîtes de sécurité' / 'safety boxes' (OPCT); WHO benchmark: ~15% contaminated vs 85% non-hazardous waste requiring source separation.</t>
        </is>
      </c>
      <c r="G3" s="2" t="n">
        <v>0.5</v>
      </c>
      <c r="H3" s="2" t="inlineStr">
        <is>
          <t>Plan national/programme opérationnel réactualisé en mai 2019 sous MSAS, financé par REDISSE et ISMEA. Document de planification et d'appui projet (≠1.0 loi, ≠0.75 arrêté/décret). / National plan/operational programme updated May 2019 under MSAS, funded by REDISSE and ISMEA. Planning and project-support document (≠1.0 law, ≠0.75 order/decree).</t>
        </is>
      </c>
      <c r="I3" s="2" t="n">
        <v>1</v>
      </c>
      <c r="J3" s="2" t="inlineStr">
        <is>
          <t>santé, environnement, assainissement, secteur privé, collectivités locales, formation sanitaire / health, environment, sanitation, private sector, local government, health facilities</t>
        </is>
      </c>
      <c r="K3" s="2" t="n">
        <v>0.25</v>
      </c>
      <c r="L3" s="2" t="inlineStr">
        <is>
          <t>utilisation, collecte, stockage, transport, traitement, élimination / use, collection, storage, transport, treatment, disposal</t>
        </is>
      </c>
      <c r="M3" s="2" t="n">
        <v>0.75</v>
      </c>
      <c r="N3" s="2" t="inlineStr">
        <is>
          <t>§V.1: detailed cost table — e.g. 2,210 units pre-collection equipment (FCFA 22.1M REDISSE + 17.5M ISMEA); 2,000 plastic waste bags (FCFA 400,000); needle shredders, DBM sterilisers, Montfort/electromechanical incinerators; PRONALIN/CLIN/CHSCT training budgets. Plan funds priority activities only, not full national strategy.</t>
        </is>
      </c>
      <c r="O3" s="3">
        <f>AVERAGE(G3,I3,K3,M3,P3)</f>
        <v/>
      </c>
      <c r="P3" s="2" t="n">
        <v>0.5</v>
      </c>
      <c r="Q3" s="2" t="inlineStr">
        <is>
          <t>Governance</t>
        </is>
      </c>
      <c r="R3" s="2" t="inlineStr">
        <is>
          <t>§V.A.1: global objective — 'contribuer au bien-être de tous les Sénégalais par une gestion durable des DBM dans les formations sanitaires' / 'contribute to well-being of all Senegalese through sustainable DBM management in health facilities' with environmentally viable, technically feasible, socially acceptable systems.</t>
        </is>
      </c>
      <c r="S3" s="2" t="n">
        <v>1</v>
      </c>
      <c r="T3" s="2" t="n">
        <v>0.5</v>
      </c>
      <c r="U3" s="2" t="inlineStr">
        <is>
          <t>Four specific objectives: legal/institutional strengthening; equipment; training/awareness; monitoring.</t>
        </is>
      </c>
      <c r="V3" s="3">
        <f>AVERAGE(P3,T3)</f>
        <v/>
      </c>
      <c r="W3" s="2" t="inlineStr">
        <is>
          <t>Objectif global PGDBM 2019. / PGDBM 2019 global objective.</t>
        </is>
      </c>
    </row>
    <row r="4">
      <c r="A4" s="2" t="inlineStr">
        <is>
          <t>Plan de gestion des déchets biomédicaux — réactualisation, mai 2019 (REDISSE / ISMEA) / Biomedical waste management plan — updated, May 2019 (REDISSE / ISMEA)</t>
        </is>
      </c>
      <c r="B4" s="2" t="inlineStr">
        <is>
          <t>https://www.sante.gouv.sn/sites/default/files/plan_gestion_dechets_biom%C3%A9dicaux_0.pdf</t>
        </is>
      </c>
      <c r="C4" s="2" t="n">
        <v>2019</v>
      </c>
      <c r="D4" s="2" t="inlineStr">
        <is>
          <t>Réactualiser le PGDBM (2016) pour les projets Banque mondiale REDISSE et ISMEA, en définissant ségrégation à la source, équipements de pré-collecte/collecte (poubelles, sachets plastiques codés, boîtes de sécurité), infrastructures de traitement (incinérateurs, stérilisateurs, autoclaves/broyeurs) et cadre institutionnel de gestion des DBM dans les formations sanitaires — incluant explicitement les déchets cliniques en contenants plastiques (sacs noirs/jaunes/rouges, safety boxes) et l'interdiction d'incinérer les plastiques halogénés (PVC). / Update the 2016 biomedical waste management plan (PGDBM) for World Bank REDISSE and ISMEA projects, defining source segregation, pre-collection/collection equipment (bins, colour-coded plastic bags, safety boxes), treatment infrastructure (incinerators, sterilisers, autoclaves/shredders) and institutional framework for biomedical waste in health facilities — explicitly covering clinical waste in plastic containers (black/yellow/red bags, safety boxes) and the ban on incinerating halogenated plastics (PVC).</t>
        </is>
      </c>
      <c r="E4" s="2" t="n">
        <v>0.75</v>
      </c>
      <c r="F4" s="2" t="inlineStr">
        <is>
          <t>§V.B: 'tri correctement dès leur production afin de les mettre immédiatement dans le bon contenant' / 'sort correctly at production to place immediately in the right container'; §IV.E: colour-coded receptacles — 'sacs noirs' / 'black bags' (general), 'sacs rouges' / 'red bags' (pathological), 'boîtes de sécurité' / 'safety boxes' (OPCT); WHO benchmark: ~15% contaminated vs 85% non-hazardous waste requiring source separation.</t>
        </is>
      </c>
      <c r="G4" s="2" t="n">
        <v>0.5</v>
      </c>
      <c r="H4" s="2" t="inlineStr">
        <is>
          <t>Plan national/programme opérationnel réactualisé en mai 2019 sous MSAS, financé par REDISSE et ISMEA. Document de planification et d'appui projet (≠1.0 loi, ≠0.75 arrêté/décret). / National plan/operational programme updated May 2019 under MSAS, funded by REDISSE and ISMEA. Planning and project-support document (≠1.0 law, ≠0.75 order/decree).</t>
        </is>
      </c>
      <c r="I4" s="2" t="n">
        <v>1</v>
      </c>
      <c r="J4" s="2" t="inlineStr">
        <is>
          <t>santé, environnement, assainissement, secteur privé, collectivités locales, formation sanitaire / health, environment, sanitation, private sector, local government, health facilities</t>
        </is>
      </c>
      <c r="K4" s="2" t="n">
        <v>0.25</v>
      </c>
      <c r="L4" s="2" t="inlineStr">
        <is>
          <t>utilisation, collecte, stockage, transport, traitement, élimination / use, collection, storage, transport, treatment, disposal</t>
        </is>
      </c>
      <c r="M4" s="2" t="n">
        <v>0.75</v>
      </c>
      <c r="N4" s="2" t="inlineStr">
        <is>
          <t>§V.1: detailed cost table — e.g. 2,210 units pre-collection equipment (FCFA 22.1M REDISSE + 17.5M ISMEA); 2,000 plastic waste bags (FCFA 400,000); needle shredders, DBM sterilisers, Montfort/electromechanical incinerators; PRONALIN/CLIN/CHSCT training budgets. Plan funds priority activities only, not full national strategy.</t>
        </is>
      </c>
      <c r="O4" s="3">
        <f>AVERAGE(G4,I4,K4,M4,P4)</f>
        <v/>
      </c>
      <c r="P4" s="2" t="n">
        <v>0.5</v>
      </c>
      <c r="Q4" s="2" t="inlineStr">
        <is>
          <t>Collection</t>
        </is>
      </c>
      <c r="R4" s="2" t="inlineStr">
        <is>
          <t>§V.A.2 Objectif 2: provide health facilities with 'matériels de pré collecte, collecte et stockage (poubelles)' / 'pre-collection, collection and storage materials (bins)', PPE (gloves, boots, masks, coveralls) and treatment infrastructure (DBM sterilisers/modern incinerators for regional hospitals; De Montfort incinerators for health centres/posts).</t>
        </is>
      </c>
      <c r="S4" s="2" t="n">
        <v>1</v>
      </c>
      <c r="T4" s="2" t="n">
        <v>0.5</v>
      </c>
      <c r="U4" s="2" t="inlineStr">
        <is>
          <t>§V.1 cost table: 2,210 pre-collection units; 2,000 plastic waste bags; needle shredders, sterilisers, incinerators budgeted under REDISSE/ISMEA.</t>
        </is>
      </c>
      <c r="V4" s="3">
        <f>AVERAGE(P4,T4)</f>
        <v/>
      </c>
      <c r="W4" s="2" t="inlineStr">
        <is>
          <t>Axe équipement — poubelles et sachets plastiques de collecte. / Equipment axis — bins and plastic collection bags.</t>
        </is>
      </c>
    </row>
    <row r="5">
      <c r="A5" s="2" t="inlineStr">
        <is>
          <t>Plan de gestion des déchets biomédicaux — réactualisation, mai 2019 (REDISSE / ISMEA) / Biomedical waste management plan — updated, May 2019 (REDISSE / ISMEA)</t>
        </is>
      </c>
      <c r="B5" s="2" t="inlineStr">
        <is>
          <t>https://www.sante.gouv.sn/sites/default/files/plan_gestion_dechets_biom%C3%A9dicaux_0.pdf</t>
        </is>
      </c>
      <c r="C5" s="2" t="n">
        <v>2019</v>
      </c>
      <c r="D5" s="2" t="inlineStr">
        <is>
          <t>Réactualiser le PGDBM (2016) pour les projets Banque mondiale REDISSE et ISMEA, en définissant ségrégation à la source, équipements de pré-collecte/collecte (poubelles, sachets plastiques codés, boîtes de sécurité), infrastructures de traitement (incinérateurs, stérilisateurs, autoclaves/broyeurs) et cadre institutionnel de gestion des DBM dans les formations sanitaires — incluant explicitement les déchets cliniques en contenants plastiques (sacs noirs/jaunes/rouges, safety boxes) et l'interdiction d'incinérer les plastiques halogénés (PVC). / Update the 2016 biomedical waste management plan (PGDBM) for World Bank REDISSE and ISMEA projects, defining source segregation, pre-collection/collection equipment (bins, colour-coded plastic bags, safety boxes), treatment infrastructure (incinerators, sterilisers, autoclaves/shredders) and institutional framework for biomedical waste in health facilities — explicitly covering clinical waste in plastic containers (black/yellow/red bags, safety boxes) and the ban on incinerating halogenated plastics (PVC).</t>
        </is>
      </c>
      <c r="E5" s="2" t="n">
        <v>0.75</v>
      </c>
      <c r="F5" s="2" t="inlineStr">
        <is>
          <t>§V.B: 'tri correctement dès leur production afin de les mettre immédiatement dans le bon contenant' / 'sort correctly at production to place immediately in the right container'; §IV.E: colour-coded receptacles — 'sacs noirs' / 'black bags' (general), 'sacs rouges' / 'red bags' (pathological), 'boîtes de sécurité' / 'safety boxes' (OPCT); WHO benchmark: ~15% contaminated vs 85% non-hazardous waste requiring source separation.</t>
        </is>
      </c>
      <c r="G5" s="2" t="n">
        <v>0.5</v>
      </c>
      <c r="H5" s="2" t="inlineStr">
        <is>
          <t>Plan national/programme opérationnel réactualisé en mai 2019 sous MSAS, financé par REDISSE et ISMEA. Document de planification et d'appui projet (≠1.0 loi, ≠0.75 arrêté/décret). / National plan/operational programme updated May 2019 under MSAS, funded by REDISSE and ISMEA. Planning and project-support document (≠1.0 law, ≠0.75 order/decree).</t>
        </is>
      </c>
      <c r="I5" s="2" t="n">
        <v>1</v>
      </c>
      <c r="J5" s="2" t="inlineStr">
        <is>
          <t>santé, environnement, assainissement, secteur privé, collectivités locales, formation sanitaire / health, environment, sanitation, private sector, local government, health facilities</t>
        </is>
      </c>
      <c r="K5" s="2" t="n">
        <v>0.25</v>
      </c>
      <c r="L5" s="2" t="inlineStr">
        <is>
          <t>utilisation, collecte, stockage, transport, traitement, élimination / use, collection, storage, transport, treatment, disposal</t>
        </is>
      </c>
      <c r="M5" s="2" t="n">
        <v>0.75</v>
      </c>
      <c r="N5" s="2" t="inlineStr">
        <is>
          <t>§V.1: detailed cost table — e.g. 2,210 units pre-collection equipment (FCFA 22.1M REDISSE + 17.5M ISMEA); 2,000 plastic waste bags (FCFA 400,000); needle shredders, DBM sterilisers, Montfort/electromechanical incinerators; PRONALIN/CLIN/CHSCT training budgets. Plan funds priority activities only, not full national strategy.</t>
        </is>
      </c>
      <c r="O5" s="3">
        <f>AVERAGE(G5,I5,K5,M5,P5)</f>
        <v/>
      </c>
      <c r="P5" s="2" t="n">
        <v>0.75</v>
      </c>
      <c r="Q5" s="2" t="inlineStr">
        <is>
          <t>Use</t>
        </is>
      </c>
      <c r="R5" s="2" t="inlineStr">
        <is>
          <t>§V.B / §IV.E: mandatory 'tri à la source' / 'source segregation'; producer responsible for placing waste immediately in correct container; contaminated waste (~15%) must be separated from non-hazardous (~85%) per WHO.</t>
        </is>
      </c>
      <c r="S5" s="2" t="n">
        <v>1</v>
      </c>
      <c r="T5" s="2" t="n">
        <v>0.5</v>
      </c>
      <c r="U5" s="2" t="inlineStr">
        <is>
          <t>Diagnostic notes tri not generalised; mixing of DBM with household waste common; training and CLIN/CHSCT supervision planned.</t>
        </is>
      </c>
      <c r="V5" s="3">
        <f>AVERAGE(P5,T5)</f>
        <v/>
      </c>
      <c r="W5" s="2" t="inlineStr">
        <is>
          <t>Ségrégation à la source — réduit volumes infectieux et besoins en contenants plastiques. / Source segregation — reduces infectious volumes and plastic-container needs.</t>
        </is>
      </c>
    </row>
    <row r="6">
      <c r="A6" s="2" t="inlineStr">
        <is>
          <t>Plan de gestion des déchets biomédicaux — réactualisation, mai 2019 (REDISSE / ISMEA) / Biomedical waste management plan — updated, May 2019 (REDISSE / ISMEA)</t>
        </is>
      </c>
      <c r="B6" s="2" t="inlineStr">
        <is>
          <t>https://www.sante.gouv.sn/sites/default/files/plan_gestion_dechets_biom%C3%A9dicaux_0.pdf</t>
        </is>
      </c>
      <c r="C6" s="2" t="n">
        <v>2019</v>
      </c>
      <c r="D6" s="2" t="inlineStr">
        <is>
          <t>Réactualiser le PGDBM (2016) pour les projets Banque mondiale REDISSE et ISMEA, en définissant ségrégation à la source, équipements de pré-collecte/collecte (poubelles, sachets plastiques codés, boîtes de sécurité), infrastructures de traitement (incinérateurs, stérilisateurs, autoclaves/broyeurs) et cadre institutionnel de gestion des DBM dans les formations sanitaires — incluant explicitement les déchets cliniques en contenants plastiques (sacs noirs/jaunes/rouges, safety boxes) et l'interdiction d'incinérer les plastiques halogénés (PVC). / Update the 2016 biomedical waste management plan (PGDBM) for World Bank REDISSE and ISMEA projects, defining source segregation, pre-collection/collection equipment (bins, colour-coded plastic bags, safety boxes), treatment infrastructure (incinerators, sterilisers, autoclaves/shredders) and institutional framework for biomedical waste in health facilities — explicitly covering clinical waste in plastic containers (black/yellow/red bags, safety boxes) and the ban on incinerating halogenated plastics (PVC).</t>
        </is>
      </c>
      <c r="E6" s="2" t="n">
        <v>0.75</v>
      </c>
      <c r="F6" s="2" t="inlineStr">
        <is>
          <t>§V.B: 'tri correctement dès leur production afin de les mettre immédiatement dans le bon contenant' / 'sort correctly at production to place immediately in the right container'; §IV.E: colour-coded receptacles — 'sacs noirs' / 'black bags' (general), 'sacs rouges' / 'red bags' (pathological), 'boîtes de sécurité' / 'safety boxes' (OPCT); WHO benchmark: ~15% contaminated vs 85% non-hazardous waste requiring source separation.</t>
        </is>
      </c>
      <c r="G6" s="2" t="n">
        <v>0.5</v>
      </c>
      <c r="H6" s="2" t="inlineStr">
        <is>
          <t>Plan national/programme opérationnel réactualisé en mai 2019 sous MSAS, financé par REDISSE et ISMEA. Document de planification et d'appui projet (≠1.0 loi, ≠0.75 arrêté/décret). / National plan/operational programme updated May 2019 under MSAS, funded by REDISSE and ISMEA. Planning and project-support document (≠1.0 law, ≠0.75 order/decree).</t>
        </is>
      </c>
      <c r="I6" s="2" t="n">
        <v>1</v>
      </c>
      <c r="J6" s="2" t="inlineStr">
        <is>
          <t>santé, environnement, assainissement, secteur privé, collectivités locales, formation sanitaire / health, environment, sanitation, private sector, local government, health facilities</t>
        </is>
      </c>
      <c r="K6" s="2" t="n">
        <v>0.25</v>
      </c>
      <c r="L6" s="2" t="inlineStr">
        <is>
          <t>utilisation, collecte, stockage, transport, traitement, élimination / use, collection, storage, transport, treatment, disposal</t>
        </is>
      </c>
      <c r="M6" s="2" t="n">
        <v>0.75</v>
      </c>
      <c r="N6" s="2" t="inlineStr">
        <is>
          <t>§V.1: detailed cost table — e.g. 2,210 units pre-collection equipment (FCFA 22.1M REDISSE + 17.5M ISMEA); 2,000 plastic waste bags (FCFA 400,000); needle shredders, DBM sterilisers, Montfort/electromechanical incinerators; PRONALIN/CLIN/CHSCT training budgets. Plan funds priority activities only, not full national strategy.</t>
        </is>
      </c>
      <c r="O6" s="3">
        <f>AVERAGE(G6,I6,K6,M6,P6)</f>
        <v/>
      </c>
      <c r="P6" s="2" t="n">
        <v>0.75</v>
      </c>
      <c r="Q6" s="2" t="inlineStr">
        <is>
          <t>Collection</t>
        </is>
      </c>
      <c r="R6" s="2" t="inlineStr">
        <is>
          <t>§IV.E / Annex tri table: colour-coded plastic receptacles — 'Sachets plastiques noirs et poubelles noirs' / 'black plastic bags and black bins' for general waste (packaging, plastic bottles, sterile material packaging); 'sachets plastiques jaune' / 'yellow plastic bags' for infectious waste; 'Sachets plastiques dans poubelles rouge' / 'plastic bags in red bins' for pathological/soiled waste; 'Boîtes safety boxes jaunes' / 'yellow safety boxes' for sharps (OPCT).</t>
        </is>
      </c>
      <c r="S6" s="2" t="n">
        <v>1</v>
      </c>
      <c r="T6" s="2" t="n">
        <v>0.5</v>
      </c>
      <c r="U6" s="2" t="inlineStr">
        <is>
          <t>Receptacles must be non-transparent, moisture-resistant, manipulation-resistant and closed; deficit of plastic bags and safety boxes noted in facility assessments.</t>
        </is>
      </c>
      <c r="V6" s="3">
        <f>AVERAGE(P6,T6)</f>
        <v/>
      </c>
      <c r="W6" s="2" t="inlineStr">
        <is>
          <t>Mention plastique la plus explicite — codage couleur des sachets/poubelles plastiques. / Most explicit plastic mention — colour-coded plastic bags/bins.</t>
        </is>
      </c>
    </row>
    <row r="7">
      <c r="A7" s="2" t="inlineStr">
        <is>
          <t>Plan de gestion des déchets biomédicaux — réactualisation, mai 2019 (REDISSE / ISMEA) / Biomedical waste management plan — updated, May 2019 (REDISSE / ISMEA)</t>
        </is>
      </c>
      <c r="B7" s="2" t="inlineStr">
        <is>
          <t>https://www.sante.gouv.sn/sites/default/files/plan_gestion_dechets_biom%C3%A9dicaux_0.pdf</t>
        </is>
      </c>
      <c r="C7" s="2" t="n">
        <v>2019</v>
      </c>
      <c r="D7" s="2" t="inlineStr">
        <is>
          <t>Réactualiser le PGDBM (2016) pour les projets Banque mondiale REDISSE et ISMEA, en définissant ségrégation à la source, équipements de pré-collecte/collecte (poubelles, sachets plastiques codés, boîtes de sécurité), infrastructures de traitement (incinérateurs, stérilisateurs, autoclaves/broyeurs) et cadre institutionnel de gestion des DBM dans les formations sanitaires — incluant explicitement les déchets cliniques en contenants plastiques (sacs noirs/jaunes/rouges, safety boxes) et l'interdiction d'incinérer les plastiques halogénés (PVC). / Update the 2016 biomedical waste management plan (PGDBM) for World Bank REDISSE and ISMEA projects, defining source segregation, pre-collection/collection equipment (bins, colour-coded plastic bags, safety boxes), treatment infrastructure (incinerators, sterilisers, autoclaves/shredders) and institutional framework for biomedical waste in health facilities — explicitly covering clinical waste in plastic containers (black/yellow/red bags, safety boxes) and the ban on incinerating halogenated plastics (PVC).</t>
        </is>
      </c>
      <c r="E7" s="2" t="n">
        <v>0.75</v>
      </c>
      <c r="F7" s="2" t="inlineStr">
        <is>
          <t>§V.B: 'tri correctement dès leur production afin de les mettre immédiatement dans le bon contenant' / 'sort correctly at production to place immediately in the right container'; §IV.E: colour-coded receptacles — 'sacs noirs' / 'black bags' (general), 'sacs rouges' / 'red bags' (pathological), 'boîtes de sécurité' / 'safety boxes' (OPCT); WHO benchmark: ~15% contaminated vs 85% non-hazardous waste requiring source separation.</t>
        </is>
      </c>
      <c r="G7" s="2" t="n">
        <v>0.5</v>
      </c>
      <c r="H7" s="2" t="inlineStr">
        <is>
          <t>Plan national/programme opérationnel réactualisé en mai 2019 sous MSAS, financé par REDISSE et ISMEA. Document de planification et d'appui projet (≠1.0 loi, ≠0.75 arrêté/décret). / National plan/operational programme updated May 2019 under MSAS, funded by REDISSE and ISMEA. Planning and project-support document (≠1.0 law, ≠0.75 order/decree).</t>
        </is>
      </c>
      <c r="I7" s="2" t="n">
        <v>1</v>
      </c>
      <c r="J7" s="2" t="inlineStr">
        <is>
          <t>santé, environnement, assainissement, secteur privé, collectivités locales, formation sanitaire / health, environment, sanitation, private sector, local government, health facilities</t>
        </is>
      </c>
      <c r="K7" s="2" t="n">
        <v>0.25</v>
      </c>
      <c r="L7" s="2" t="inlineStr">
        <is>
          <t>utilisation, collecte, stockage, transport, traitement, élimination / use, collection, storage, transport, treatment, disposal</t>
        </is>
      </c>
      <c r="M7" s="2" t="n">
        <v>0.75</v>
      </c>
      <c r="N7" s="2" t="inlineStr">
        <is>
          <t>§V.1: detailed cost table — e.g. 2,210 units pre-collection equipment (FCFA 22.1M REDISSE + 17.5M ISMEA); 2,000 plastic waste bags (FCFA 400,000); needle shredders, DBM sterilisers, Montfort/electromechanical incinerators; PRONALIN/CLIN/CHSCT training budgets. Plan funds priority activities only, not full national strategy.</t>
        </is>
      </c>
      <c r="O7" s="3">
        <f>AVERAGE(G7,I7,K7,M7,P7)</f>
        <v/>
      </c>
      <c r="P7" s="2" t="n">
        <v>0.75</v>
      </c>
      <c r="Q7" s="2" t="inlineStr">
        <is>
          <t>Use</t>
        </is>
      </c>
      <c r="R7" s="2" t="inlineStr">
        <is>
          <t>§IV.E: sharps placed in 'boîtes de sécurité safety boxes ou des contenants en plastique' / 'safety boxes or plastic containers'; OPCT must be segregated immediately at point of care in compliant puncture-resistant, liquid-tight containers bearing biological-risk symbol; do not recap needles.</t>
        </is>
      </c>
      <c r="S7" s="2" t="n">
        <v>1</v>
      </c>
      <c r="T7" s="2" t="n">
        <v>0.5</v>
      </c>
      <c r="U7" s="2" t="inlineStr">
        <is>
          <t>Plan recommends plastic (not cardboard) safety boxes; notes improvised containers (e.g. water bottles) in some facilities.</t>
        </is>
      </c>
      <c r="V7" s="3">
        <f>AVERAGE(P7,T7)</f>
        <v/>
      </c>
      <c r="W7" s="2" t="inlineStr">
        <is>
          <t>OPCT en contenants plastiques/boîtes de sécurité — seringues et matériel à usage unique. / Sharps in plastic containers/safety boxes — syringes and single-use items.</t>
        </is>
      </c>
    </row>
    <row r="8">
      <c r="A8" s="2" t="inlineStr">
        <is>
          <t>Plan de gestion des déchets biomédicaux — réactualisation, mai 2019 (REDISSE / ISMEA) / Biomedical waste management plan — updated, May 2019 (REDISSE / ISMEA)</t>
        </is>
      </c>
      <c r="B8" s="2" t="inlineStr">
        <is>
          <t>https://www.sante.gouv.sn/sites/default/files/plan_gestion_dechets_biom%C3%A9dicaux_0.pdf</t>
        </is>
      </c>
      <c r="C8" s="2" t="n">
        <v>2019</v>
      </c>
      <c r="D8" s="2" t="inlineStr">
        <is>
          <t>Réactualiser le PGDBM (2016) pour les projets Banque mondiale REDISSE et ISMEA, en définissant ségrégation à la source, équipements de pré-collecte/collecte (poubelles, sachets plastiques codés, boîtes de sécurité), infrastructures de traitement (incinérateurs, stérilisateurs, autoclaves/broyeurs) et cadre institutionnel de gestion des DBM dans les formations sanitaires — incluant explicitement les déchets cliniques en contenants plastiques (sacs noirs/jaunes/rouges, safety boxes) et l'interdiction d'incinérer les plastiques halogénés (PVC). / Update the 2016 biomedical waste management plan (PGDBM) for World Bank REDISSE and ISMEA projects, defining source segregation, pre-collection/collection equipment (bins, colour-coded plastic bags, safety boxes), treatment infrastructure (incinerators, sterilisers, autoclaves/shredders) and institutional framework for biomedical waste in health facilities — explicitly covering clinical waste in plastic containers (black/yellow/red bags, safety boxes) and the ban on incinerating halogenated plastics (PVC).</t>
        </is>
      </c>
      <c r="E8" s="2" t="n">
        <v>0.75</v>
      </c>
      <c r="F8" s="2" t="inlineStr">
        <is>
          <t>§V.B: 'tri correctement dès leur production afin de les mettre immédiatement dans le bon contenant' / 'sort correctly at production to place immediately in the right container'; §IV.E: colour-coded receptacles — 'sacs noirs' / 'black bags' (general), 'sacs rouges' / 'red bags' (pathological), 'boîtes de sécurité' / 'safety boxes' (OPCT); WHO benchmark: ~15% contaminated vs 85% non-hazardous waste requiring source separation.</t>
        </is>
      </c>
      <c r="G8" s="2" t="n">
        <v>0.5</v>
      </c>
      <c r="H8" s="2" t="inlineStr">
        <is>
          <t>Plan national/programme opérationnel réactualisé en mai 2019 sous MSAS, financé par REDISSE et ISMEA. Document de planification et d'appui projet (≠1.0 loi, ≠0.75 arrêté/décret). / National plan/operational programme updated May 2019 under MSAS, funded by REDISSE and ISMEA. Planning and project-support document (≠1.0 law, ≠0.75 order/decree).</t>
        </is>
      </c>
      <c r="I8" s="2" t="n">
        <v>1</v>
      </c>
      <c r="J8" s="2" t="inlineStr">
        <is>
          <t>santé, environnement, assainissement, secteur privé, collectivités locales, formation sanitaire / health, environment, sanitation, private sector, local government, health facilities</t>
        </is>
      </c>
      <c r="K8" s="2" t="n">
        <v>0.25</v>
      </c>
      <c r="L8" s="2" t="inlineStr">
        <is>
          <t>utilisation, collecte, stockage, transport, traitement, élimination / use, collection, storage, transport, treatment, disposal</t>
        </is>
      </c>
      <c r="M8" s="2" t="n">
        <v>0.75</v>
      </c>
      <c r="N8" s="2" t="inlineStr">
        <is>
          <t>§V.1: detailed cost table — e.g. 2,210 units pre-collection equipment (FCFA 22.1M REDISSE + 17.5M ISMEA); 2,000 plastic waste bags (FCFA 400,000); needle shredders, DBM sterilisers, Montfort/electromechanical incinerators; PRONALIN/CLIN/CHSCT training budgets. Plan funds priority activities only, not full national strategy.</t>
        </is>
      </c>
      <c r="O8" s="3">
        <f>AVERAGE(G8,I8,K8,M8,P8)</f>
        <v/>
      </c>
      <c r="P8" s="2" t="n">
        <v>0.75</v>
      </c>
      <c r="Q8" s="2" t="inlineStr">
        <is>
          <t>Disposal</t>
        </is>
      </c>
      <c r="R8" s="2" t="inlineStr">
        <is>
          <t>§IV.2.3 / §VI: treatment options — modern incinerators (HPD, Dantec, Fann, Grand Yoff); De Montfort single-chamber incinerators for health centres; autoclave/shredder at Grand Yoff (non-incineration WHO/UNDP/GEF pilot); chemical disinfection; controlled landfill cells for final disposal.</t>
        </is>
      </c>
      <c r="S8" s="2" t="n">
        <v>1</v>
      </c>
      <c r="T8" s="2" t="n">
        <v>0.25</v>
      </c>
      <c r="U8" s="2" t="inlineStr">
        <is>
          <t>Most facilities lack compliant incinerators; open burning and uncontrolled dumps common; Dakar controlled landfill to include DBM cells.</t>
        </is>
      </c>
      <c r="V8" s="3">
        <f>AVERAGE(P8,T8)</f>
        <v/>
      </c>
      <c r="W8" s="2" t="inlineStr">
        <is>
          <t>Infrastructures d'élimination — traite déchets conditionnés en plastique après incinération/stérilisation. / Disposal infrastructure — treats plastic-packaged waste after incineration/sterilisation.</t>
        </is>
      </c>
    </row>
    <row r="9">
      <c r="A9" s="2" t="inlineStr">
        <is>
          <t>Plan de gestion des déchets biomédicaux — réactualisation, mai 2019 (REDISSE / ISMEA) / Biomedical waste management plan — updated, May 2019 (REDISSE / ISMEA)</t>
        </is>
      </c>
      <c r="B9" s="2" t="inlineStr">
        <is>
          <t>https://www.sante.gouv.sn/sites/default/files/plan_gestion_dechets_biom%C3%A9dicaux_0.pdf</t>
        </is>
      </c>
      <c r="C9" s="2" t="n">
        <v>2019</v>
      </c>
      <c r="D9" s="2" t="inlineStr">
        <is>
          <t>Réactualiser le PGDBM (2016) pour les projets Banque mondiale REDISSE et ISMEA, en définissant ségrégation à la source, équipements de pré-collecte/collecte (poubelles, sachets plastiques codés, boîtes de sécurité), infrastructures de traitement (incinérateurs, stérilisateurs, autoclaves/broyeurs) et cadre institutionnel de gestion des DBM dans les formations sanitaires — incluant explicitement les déchets cliniques en contenants plastiques (sacs noirs/jaunes/rouges, safety boxes) et l'interdiction d'incinérer les plastiques halogénés (PVC). / Update the 2016 biomedical waste management plan (PGDBM) for World Bank REDISSE and ISMEA projects, defining source segregation, pre-collection/collection equipment (bins, colour-coded plastic bags, safety boxes), treatment infrastructure (incinerators, sterilisers, autoclaves/shredders) and institutional framework for biomedical waste in health facilities — explicitly covering clinical waste in plastic containers (black/yellow/red bags, safety boxes) and the ban on incinerating halogenated plastics (PVC).</t>
        </is>
      </c>
      <c r="E9" s="2" t="n">
        <v>0.75</v>
      </c>
      <c r="F9" s="2" t="inlineStr">
        <is>
          <t>§V.B: 'tri correctement dès leur production afin de les mettre immédiatement dans le bon contenant' / 'sort correctly at production to place immediately in the right container'; §IV.E: colour-coded receptacles — 'sacs noirs' / 'black bags' (general), 'sacs rouges' / 'red bags' (pathological), 'boîtes de sécurité' / 'safety boxes' (OPCT); WHO benchmark: ~15% contaminated vs 85% non-hazardous waste requiring source separation.</t>
        </is>
      </c>
      <c r="G9" s="2" t="n">
        <v>0.5</v>
      </c>
      <c r="H9" s="2" t="inlineStr">
        <is>
          <t>Plan national/programme opérationnel réactualisé en mai 2019 sous MSAS, financé par REDISSE et ISMEA. Document de planification et d'appui projet (≠1.0 loi, ≠0.75 arrêté/décret). / National plan/operational programme updated May 2019 under MSAS, funded by REDISSE and ISMEA. Planning and project-support document (≠1.0 law, ≠0.75 order/decree).</t>
        </is>
      </c>
      <c r="I9" s="2" t="n">
        <v>1</v>
      </c>
      <c r="J9" s="2" t="inlineStr">
        <is>
          <t>santé, environnement, assainissement, secteur privé, collectivités locales, formation sanitaire / health, environment, sanitation, private sector, local government, health facilities</t>
        </is>
      </c>
      <c r="K9" s="2" t="n">
        <v>0.25</v>
      </c>
      <c r="L9" s="2" t="inlineStr">
        <is>
          <t>utilisation, collecte, stockage, transport, traitement, élimination / use, collection, storage, transport, treatment, disposal</t>
        </is>
      </c>
      <c r="M9" s="2" t="n">
        <v>0.75</v>
      </c>
      <c r="N9" s="2" t="inlineStr">
        <is>
          <t>§V.1: detailed cost table — e.g. 2,210 units pre-collection equipment (FCFA 22.1M REDISSE + 17.5M ISMEA); 2,000 plastic waste bags (FCFA 400,000); needle shredders, DBM sterilisers, Montfort/electromechanical incinerators; PRONALIN/CLIN/CHSCT training budgets. Plan funds priority activities only, not full national strategy.</t>
        </is>
      </c>
      <c r="O9" s="3">
        <f>AVERAGE(G9,I9,K9,M9,P9)</f>
        <v/>
      </c>
      <c r="P9" s="2" t="n">
        <v>1</v>
      </c>
      <c r="Q9" s="2" t="inlineStr">
        <is>
          <t>Disposal</t>
        </is>
      </c>
      <c r="R9" s="2" t="inlineStr">
        <is>
          <t>§VI.1: DBM that 'ne pouvant pas être incinérés' / 'cannot be incinerated' include 'Plastiques Halogénés (PVC)' / 'Halogenated Plastics (PVC)', pressurised gas containers, large chemical quantities, radioactive waste, mercury/cadmium waste.</t>
        </is>
      </c>
      <c r="S9" s="2" t="n">
        <v>1</v>
      </c>
      <c r="T9" s="2" t="n">
        <v>0.25</v>
      </c>
      <c r="U9" s="2" t="inlineStr">
        <is>
          <t>Pre-sorting required before incineration; only combustible DBM (&gt;60% combustible, &lt;30% moisture) may enter incinerators.</t>
        </is>
      </c>
      <c r="V9" s="3">
        <f>AVERAGE(P9,T9)</f>
        <v/>
      </c>
      <c r="W9" s="2" t="inlineStr">
        <is>
          <t>Interdiction d'incinération du PVC — lien direct plastique halogéné clinique. / PVC incineration ban — direct halogenated clinical plastic link.</t>
        </is>
      </c>
    </row>
    <row r="10">
      <c r="A10" s="2" t="inlineStr">
        <is>
          <t>Plan de gestion des déchets biomédicaux — réactualisation, mai 2019 (REDISSE / ISMEA) / Biomedical waste management plan — updated, May 2019 (REDISSE / ISMEA)</t>
        </is>
      </c>
      <c r="B10" s="2" t="inlineStr">
        <is>
          <t>https://www.sante.gouv.sn/sites/default/files/plan_gestion_dechets_biom%C3%A9dicaux_0.pdf</t>
        </is>
      </c>
      <c r="C10" s="2" t="n">
        <v>2019</v>
      </c>
      <c r="D10" s="2" t="inlineStr">
        <is>
          <t>Réactualiser le PGDBM (2016) pour les projets Banque mondiale REDISSE et ISMEA, en définissant ségrégation à la source, équipements de pré-collecte/collecte (poubelles, sachets plastiques codés, boîtes de sécurité), infrastructures de traitement (incinérateurs, stérilisateurs, autoclaves/broyeurs) et cadre institutionnel de gestion des DBM dans les formations sanitaires — incluant explicitement les déchets cliniques en contenants plastiques (sacs noirs/jaunes/rouges, safety boxes) et l'interdiction d'incinérer les plastiques halogénés (PVC). / Update the 2016 biomedical waste management plan (PGDBM) for World Bank REDISSE and ISMEA projects, defining source segregation, pre-collection/collection equipment (bins, colour-coded plastic bags, safety boxes), treatment infrastructure (incinerators, sterilisers, autoclaves/shredders) and institutional framework for biomedical waste in health facilities — explicitly covering clinical waste in plastic containers (black/yellow/red bags, safety boxes) and the ban on incinerating halogenated plastics (PVC).</t>
        </is>
      </c>
      <c r="E10" s="2" t="n">
        <v>0.75</v>
      </c>
      <c r="F10" s="2" t="inlineStr">
        <is>
          <t>§V.B: 'tri correctement dès leur production afin de les mettre immédiatement dans le bon contenant' / 'sort correctly at production to place immediately in the right container'; §IV.E: colour-coded receptacles — 'sacs noirs' / 'black bags' (general), 'sacs rouges' / 'red bags' (pathological), 'boîtes de sécurité' / 'safety boxes' (OPCT); WHO benchmark: ~15% contaminated vs 85% non-hazardous waste requiring source separation.</t>
        </is>
      </c>
      <c r="G10" s="2" t="n">
        <v>0.5</v>
      </c>
      <c r="H10" s="2" t="inlineStr">
        <is>
          <t>Plan national/programme opérationnel réactualisé en mai 2019 sous MSAS, financé par REDISSE et ISMEA. Document de planification et d'appui projet (≠1.0 loi, ≠0.75 arrêté/décret). / National plan/operational programme updated May 2019 under MSAS, funded by REDISSE and ISMEA. Planning and project-support document (≠1.0 law, ≠0.75 order/decree).</t>
        </is>
      </c>
      <c r="I10" s="2" t="n">
        <v>1</v>
      </c>
      <c r="J10" s="2" t="inlineStr">
        <is>
          <t>santé, environnement, assainissement, secteur privé, collectivités locales, formation sanitaire / health, environment, sanitation, private sector, local government, health facilities</t>
        </is>
      </c>
      <c r="K10" s="2" t="n">
        <v>0.25</v>
      </c>
      <c r="L10" s="2" t="inlineStr">
        <is>
          <t>utilisation, collecte, stockage, transport, traitement, élimination / use, collection, storage, transport, treatment, disposal</t>
        </is>
      </c>
      <c r="M10" s="2" t="n">
        <v>0.75</v>
      </c>
      <c r="N10" s="2" t="inlineStr">
        <is>
          <t>§V.1: detailed cost table — e.g. 2,210 units pre-collection equipment (FCFA 22.1M REDISSE + 17.5M ISMEA); 2,000 plastic waste bags (FCFA 400,000); needle shredders, DBM sterilisers, Montfort/electromechanical incinerators; PRONALIN/CLIN/CHSCT training budgets. Plan funds priority activities only, not full national strategy.</t>
        </is>
      </c>
      <c r="O10" s="3">
        <f>AVERAGE(G10,I10,K10,M10,P10)</f>
        <v/>
      </c>
      <c r="P10" s="2" t="n">
        <v>0.75</v>
      </c>
      <c r="Q10" s="2" t="inlineStr">
        <is>
          <t>Governance</t>
        </is>
      </c>
      <c r="R10" s="2" t="inlineStr">
        <is>
          <t>§IV.D.2: references Décret n° 2008-1007 — producers must eliminate or have eliminated by 'entreprises agréées par le Ministre chargé de la santé' / 'enterprises approved by the Health Minister'; sets disinfection of infectious containers, pre-treatment, sorting, storage, transport and disposal modalities; operators require health ministry approval.</t>
        </is>
      </c>
      <c r="S10" s="2" t="n">
        <v>1</v>
      </c>
      <c r="T10" s="2" t="n">
        <v>0.5</v>
      </c>
      <c r="U10" s="2" t="inlineStr">
        <is>
          <t>Plan notes lack of standardised technical guides and unclear MSAS/MEDD/commune responsibilities.</t>
        </is>
      </c>
      <c r="V10" s="3">
        <f>AVERAGE(P10,T10)</f>
        <v/>
      </c>
      <c r="W10" s="2" t="inlineStr">
        <is>
          <t>Cadre juridique DBM — complète le plan opérationnel. / DBM legal framework — complements operational plan.</t>
        </is>
      </c>
    </row>
    <row r="11">
      <c r="A11" s="2" t="inlineStr">
        <is>
          <t>Plan de gestion des déchets biomédicaux — réactualisation, mai 2019 (REDISSE / ISMEA) / Biomedical waste management plan — updated, May 2019 (REDISSE / ISMEA)</t>
        </is>
      </c>
      <c r="B11" s="2" t="inlineStr">
        <is>
          <t>https://www.sante.gouv.sn/sites/default/files/plan_gestion_dechets_biom%C3%A9dicaux_0.pdf</t>
        </is>
      </c>
      <c r="C11" s="2" t="n">
        <v>2019</v>
      </c>
      <c r="D11" s="2" t="inlineStr">
        <is>
          <t>Réactualiser le PGDBM (2016) pour les projets Banque mondiale REDISSE et ISMEA, en définissant ségrégation à la source, équipements de pré-collecte/collecte (poubelles, sachets plastiques codés, boîtes de sécurité), infrastructures de traitement (incinérateurs, stérilisateurs, autoclaves/broyeurs) et cadre institutionnel de gestion des DBM dans les formations sanitaires — incluant explicitement les déchets cliniques en contenants plastiques (sacs noirs/jaunes/rouges, safety boxes) et l'interdiction d'incinérer les plastiques halogénés (PVC). / Update the 2016 biomedical waste management plan (PGDBM) for World Bank REDISSE and ISMEA projects, defining source segregation, pre-collection/collection equipment (bins, colour-coded plastic bags, safety boxes), treatment infrastructure (incinerators, sterilisers, autoclaves/shredders) and institutional framework for biomedical waste in health facilities — explicitly covering clinical waste in plastic containers (black/yellow/red bags, safety boxes) and the ban on incinerating halogenated plastics (PVC).</t>
        </is>
      </c>
      <c r="E11" s="2" t="n">
        <v>0.75</v>
      </c>
      <c r="F11" s="2" t="inlineStr">
        <is>
          <t>§V.B: 'tri correctement dès leur production afin de les mettre immédiatement dans le bon contenant' / 'sort correctly at production to place immediately in the right container'; §IV.E: colour-coded receptacles — 'sacs noirs' / 'black bags' (general), 'sacs rouges' / 'red bags' (pathological), 'boîtes de sécurité' / 'safety boxes' (OPCT); WHO benchmark: ~15% contaminated vs 85% non-hazardous waste requiring source separation.</t>
        </is>
      </c>
      <c r="G11" s="2" t="n">
        <v>0.5</v>
      </c>
      <c r="H11" s="2" t="inlineStr">
        <is>
          <t>Plan national/programme opérationnel réactualisé en mai 2019 sous MSAS, financé par REDISSE et ISMEA. Document de planification et d'appui projet (≠1.0 loi, ≠0.75 arrêté/décret). / National plan/operational programme updated May 2019 under MSAS, funded by REDISSE and ISMEA. Planning and project-support document (≠1.0 law, ≠0.75 order/decree).</t>
        </is>
      </c>
      <c r="I11" s="2" t="n">
        <v>1</v>
      </c>
      <c r="J11" s="2" t="inlineStr">
        <is>
          <t>santé, environnement, assainissement, secteur privé, collectivités locales, formation sanitaire / health, environment, sanitation, private sector, local government, health facilities</t>
        </is>
      </c>
      <c r="K11" s="2" t="n">
        <v>0.25</v>
      </c>
      <c r="L11" s="2" t="inlineStr">
        <is>
          <t>utilisation, collecte, stockage, transport, traitement, élimination / use, collection, storage, transport, treatment, disposal</t>
        </is>
      </c>
      <c r="M11" s="2" t="n">
        <v>0.75</v>
      </c>
      <c r="N11" s="2" t="inlineStr">
        <is>
          <t>§V.1: detailed cost table — e.g. 2,210 units pre-collection equipment (FCFA 22.1M REDISSE + 17.5M ISMEA); 2,000 plastic waste bags (FCFA 400,000); needle shredders, DBM sterilisers, Montfort/electromechanical incinerators; PRONALIN/CLIN/CHSCT training budgets. Plan funds priority activities only, not full national strategy.</t>
        </is>
      </c>
      <c r="O11" s="3">
        <f>AVERAGE(G11,I11,K11,M11,P11)</f>
        <v/>
      </c>
      <c r="P11" s="2" t="n">
        <v>0.5</v>
      </c>
      <c r="Q11" s="2" t="inlineStr">
        <is>
          <t>Collection</t>
        </is>
      </c>
      <c r="R11" s="2" t="inlineStr">
        <is>
          <t>§V.C: public-private partnership model — public facilities with incinerators to 'polariser des cabinets privés' / 'serve as hub for private clinics' for DBM treatment; private clinics to contract collection/transport to zone incinerator; polluter-pays and producer-responsibility principles for private facilities.</t>
        </is>
      </c>
      <c r="S11" s="2" t="n">
        <v>1</v>
      </c>
      <c r="T11" s="2" t="n">
        <v>0.25</v>
      </c>
      <c r="U11" s="2" t="inlineStr">
        <is>
          <t>No specialised private DBM collection companies; cleaning firms and municipalities mix DBM with household waste.</t>
        </is>
      </c>
      <c r="V11" s="3">
        <f>AVERAGE(P11,T11)</f>
        <v/>
      </c>
      <c r="W11" s="2" t="inlineStr">
        <is>
          <t>PPP secteur privé — collecte/transport vers incinérateurs. / Private-sector PPP — collection/transport to incinerators.</t>
        </is>
      </c>
    </row>
    <row r="12">
      <c r="A12" s="2" t="inlineStr">
        <is>
          <t>Plan de gestion des déchets biomédicaux — réactualisation, mai 2019 (REDISSE / ISMEA) / Biomedical waste management plan — updated, May 2019 (REDISSE / ISMEA)</t>
        </is>
      </c>
      <c r="B12" s="2" t="inlineStr">
        <is>
          <t>https://www.sante.gouv.sn/sites/default/files/plan_gestion_dechets_biom%C3%A9dicaux_0.pdf</t>
        </is>
      </c>
      <c r="C12" s="2" t="n">
        <v>2019</v>
      </c>
      <c r="D12" s="2" t="inlineStr">
        <is>
          <t>Réactualiser le PGDBM (2016) pour les projets Banque mondiale REDISSE et ISMEA, en définissant ségrégation à la source, équipements de pré-collecte/collecte (poubelles, sachets plastiques codés, boîtes de sécurité), infrastructures de traitement (incinérateurs, stérilisateurs, autoclaves/broyeurs) et cadre institutionnel de gestion des DBM dans les formations sanitaires — incluant explicitement les déchets cliniques en contenants plastiques (sacs noirs/jaunes/rouges, safety boxes) et l'interdiction d'incinérer les plastiques halogénés (PVC). / Update the 2016 biomedical waste management plan (PGDBM) for World Bank REDISSE and ISMEA projects, defining source segregation, pre-collection/collection equipment (bins, colour-coded plastic bags, safety boxes), treatment infrastructure (incinerators, sterilisers, autoclaves/shredders) and institutional framework for biomedical waste in health facilities — explicitly covering clinical waste in plastic containers (black/yellow/red bags, safety boxes) and the ban on incinerating halogenated plastics (PVC).</t>
        </is>
      </c>
      <c r="E12" s="2" t="n">
        <v>0.75</v>
      </c>
      <c r="F12" s="2" t="inlineStr">
        <is>
          <t>§V.B: 'tri correctement dès leur production afin de les mettre immédiatement dans le bon contenant' / 'sort correctly at production to place immediately in the right container'; §IV.E: colour-coded receptacles — 'sacs noirs' / 'black bags' (general), 'sacs rouges' / 'red bags' (pathological), 'boîtes de sécurité' / 'safety boxes' (OPCT); WHO benchmark: ~15% contaminated vs 85% non-hazardous waste requiring source separation.</t>
        </is>
      </c>
      <c r="G12" s="2" t="n">
        <v>0.5</v>
      </c>
      <c r="H12" s="2" t="inlineStr">
        <is>
          <t>Plan national/programme opérationnel réactualisé en mai 2019 sous MSAS, financé par REDISSE et ISMEA. Document de planification et d'appui projet (≠1.0 loi, ≠0.75 arrêté/décret). / National plan/operational programme updated May 2019 under MSAS, funded by REDISSE and ISMEA. Planning and project-support document (≠1.0 law, ≠0.75 order/decree).</t>
        </is>
      </c>
      <c r="I12" s="2" t="n">
        <v>1</v>
      </c>
      <c r="J12" s="2" t="inlineStr">
        <is>
          <t>santé, environnement, assainissement, secteur privé, collectivités locales, formation sanitaire / health, environment, sanitation, private sector, local government, health facilities</t>
        </is>
      </c>
      <c r="K12" s="2" t="n">
        <v>0.25</v>
      </c>
      <c r="L12" s="2" t="inlineStr">
        <is>
          <t>utilisation, collecte, stockage, transport, traitement, élimination / use, collection, storage, transport, treatment, disposal</t>
        </is>
      </c>
      <c r="M12" s="2" t="n">
        <v>0.75</v>
      </c>
      <c r="N12" s="2" t="inlineStr">
        <is>
          <t>§V.1: detailed cost table — e.g. 2,210 units pre-collection equipment (FCFA 22.1M REDISSE + 17.5M ISMEA); 2,000 plastic waste bags (FCFA 400,000); needle shredders, DBM sterilisers, Montfort/electromechanical incinerators; PRONALIN/CLIN/CHSCT training budgets. Plan funds priority activities only, not full national strategy.</t>
        </is>
      </c>
      <c r="O12" s="3">
        <f>AVERAGE(G12,I12,K12,M12,P12)</f>
        <v/>
      </c>
      <c r="P12" s="2" t="n">
        <v>0.5</v>
      </c>
      <c r="Q12" s="2" t="inlineStr">
        <is>
          <t>Governance</t>
        </is>
      </c>
      <c r="R12" s="2" t="inlineStr">
        <is>
          <t>§V.A.2 Objectif 1: strengthen legal/institutional framework — workshops, clarify actor roles, support internal DBM plans at health facilities, public-private partnerships, advocacy for dedicated DBM budgets.</t>
        </is>
      </c>
      <c r="S12" s="2" t="n">
        <v>1</v>
      </c>
      <c r="T12" s="2" t="n">
        <v>0.5</v>
      </c>
      <c r="U12" s="2" t="inlineStr">
        <is>
          <t>PRONALIN leads priority action plan; CLIN/CHSCT for facility-level proximity monitoring.</t>
        </is>
      </c>
      <c r="V12" s="3">
        <f>AVERAGE(P12,T12)</f>
        <v/>
      </c>
      <c r="W12" s="2" t="inlineStr">
        <is>
          <t>Gouvernance institutionnelle — plans internes de gestion DBM. / Institutional governance — internal DBM management plans.</t>
        </is>
      </c>
    </row>
    <row r="13">
      <c r="A13" s="2" t="inlineStr">
        <is>
          <t>Plan de gestion des déchets biomédicaux — réactualisation, mai 2019 (REDISSE / ISMEA) / Biomedical waste management plan — updated, May 2019 (REDISSE / ISMEA)</t>
        </is>
      </c>
      <c r="B13" s="2" t="inlineStr">
        <is>
          <t>https://www.sante.gouv.sn/sites/default/files/plan_gestion_dechets_biom%C3%A9dicaux_0.pdf</t>
        </is>
      </c>
      <c r="C13" s="2" t="n">
        <v>2019</v>
      </c>
      <c r="D13" s="2" t="inlineStr">
        <is>
          <t>Réactualiser le PGDBM (2016) pour les projets Banque mondiale REDISSE et ISMEA, en définissant ségrégation à la source, équipements de pré-collecte/collecte (poubelles, sachets plastiques codés, boîtes de sécurité), infrastructures de traitement (incinérateurs, stérilisateurs, autoclaves/broyeurs) et cadre institutionnel de gestion des DBM dans les formations sanitaires — incluant explicitement les déchets cliniques en contenants plastiques (sacs noirs/jaunes/rouges, safety boxes) et l'interdiction d'incinérer les plastiques halogénés (PVC). / Update the 2016 biomedical waste management plan (PGDBM) for World Bank REDISSE and ISMEA projects, defining source segregation, pre-collection/collection equipment (bins, colour-coded plastic bags, safety boxes), treatment infrastructure (incinerators, sterilisers, autoclaves/shredders) and institutional framework for biomedical waste in health facilities — explicitly covering clinical waste in plastic containers (black/yellow/red bags, safety boxes) and the ban on incinerating halogenated plastics (PVC).</t>
        </is>
      </c>
      <c r="E13" s="2" t="n">
        <v>0.75</v>
      </c>
      <c r="F13" s="2" t="inlineStr">
        <is>
          <t>§V.B: 'tri correctement dès leur production afin de les mettre immédiatement dans le bon contenant' / 'sort correctly at production to place immediately in the right container'; §IV.E: colour-coded receptacles — 'sacs noirs' / 'black bags' (general), 'sacs rouges' / 'red bags' (pathological), 'boîtes de sécurité' / 'safety boxes' (OPCT); WHO benchmark: ~15% contaminated vs 85% non-hazardous waste requiring source separation.</t>
        </is>
      </c>
      <c r="G13" s="2" t="n">
        <v>0.5</v>
      </c>
      <c r="H13" s="2" t="inlineStr">
        <is>
          <t>Plan national/programme opérationnel réactualisé en mai 2019 sous MSAS, financé par REDISSE et ISMEA. Document de planification et d'appui projet (≠1.0 loi, ≠0.75 arrêté/décret). / National plan/operational programme updated May 2019 under MSAS, funded by REDISSE and ISMEA. Planning and project-support document (≠1.0 law, ≠0.75 order/decree).</t>
        </is>
      </c>
      <c r="I13" s="2" t="n">
        <v>1</v>
      </c>
      <c r="J13" s="2" t="inlineStr">
        <is>
          <t>santé, environnement, assainissement, secteur privé, collectivités locales, formation sanitaire / health, environment, sanitation, private sector, local government, health facilities</t>
        </is>
      </c>
      <c r="K13" s="2" t="n">
        <v>0.25</v>
      </c>
      <c r="L13" s="2" t="inlineStr">
        <is>
          <t>utilisation, collecte, stockage, transport, traitement, élimination / use, collection, storage, transport, treatment, disposal</t>
        </is>
      </c>
      <c r="M13" s="2" t="n">
        <v>0.75</v>
      </c>
      <c r="N13" s="2" t="inlineStr">
        <is>
          <t>§V.1: detailed cost table — e.g. 2,210 units pre-collection equipment (FCFA 22.1M REDISSE + 17.5M ISMEA); 2,000 plastic waste bags (FCFA 400,000); needle shredders, DBM sterilisers, Montfort/electromechanical incinerators; PRONALIN/CLIN/CHSCT training budgets. Plan funds priority activities only, not full national strategy.</t>
        </is>
      </c>
      <c r="O13" s="3">
        <f>AVERAGE(G13,I13,K13,M13,P13)</f>
        <v/>
      </c>
      <c r="P13" s="2" t="n">
        <v>0.5</v>
      </c>
      <c r="Q13" s="2" t="inlineStr">
        <is>
          <t>Use</t>
        </is>
      </c>
      <c r="R13" s="2" t="inlineStr">
        <is>
          <t>§V.A.2 Objectif 3: training programmes for all DBM-chain operators; trainer-of-trainers; public awareness on dangers of improper DBM management; PIC (infection prevention and control) strategy support.</t>
        </is>
      </c>
      <c r="S13" s="2" t="n">
        <v>1</v>
      </c>
      <c r="T13" s="2" t="n">
        <v>0.5</v>
      </c>
      <c r="U13" s="2" t="inlineStr">
        <is>
          <t>PRONALIN national training history; plan budgets CLIN/CHSCT and PRONALIN training units under REDISSE/ISMEA.</t>
        </is>
      </c>
      <c r="V13" s="3">
        <f>AVERAGE(P13,T13)</f>
        <v/>
      </c>
      <c r="W13" s="2" t="inlineStr">
        <is>
          <t>Formation/sensibilisation — bonnes pratiques de tri et manipulation des contenants plastiques. / Training/awareness — good practices for sorting and handling plastic containers.</t>
        </is>
      </c>
    </row>
    <row r="14">
      <c r="A14" s="2" t="inlineStr">
        <is>
          <t>Plan de gestion des déchets biomédicaux — réactualisation, mai 2019 (REDISSE / ISMEA) / Biomedical waste management plan — updated, May 2019 (REDISSE / ISMEA)</t>
        </is>
      </c>
      <c r="B14" s="2" t="inlineStr">
        <is>
          <t>https://www.sante.gouv.sn/sites/default/files/plan_gestion_dechets_biom%C3%A9dicaux_0.pdf</t>
        </is>
      </c>
      <c r="C14" s="2" t="n">
        <v>2019</v>
      </c>
      <c r="D14" s="2" t="inlineStr">
        <is>
          <t>Réactualiser le PGDBM (2016) pour les projets Banque mondiale REDISSE et ISMEA, en définissant ségrégation à la source, équipements de pré-collecte/collecte (poubelles, sachets plastiques codés, boîtes de sécurité), infrastructures de traitement (incinérateurs, stérilisateurs, autoclaves/broyeurs) et cadre institutionnel de gestion des DBM dans les formations sanitaires — incluant explicitement les déchets cliniques en contenants plastiques (sacs noirs/jaunes/rouges, safety boxes) et l'interdiction d'incinérer les plastiques halogénés (PVC). / Update the 2016 biomedical waste management plan (PGDBM) for World Bank REDISSE and ISMEA projects, defining source segregation, pre-collection/collection equipment (bins, colour-coded plastic bags, safety boxes), treatment infrastructure (incinerators, sterilisers, autoclaves/shredders) and institutional framework for biomedical waste in health facilities — explicitly covering clinical waste in plastic containers (black/yellow/red bags, safety boxes) and the ban on incinerating halogenated plastics (PVC).</t>
        </is>
      </c>
      <c r="E14" s="2" t="n">
        <v>0.75</v>
      </c>
      <c r="F14" s="2" t="inlineStr">
        <is>
          <t>§V.B: 'tri correctement dès leur production afin de les mettre immédiatement dans le bon contenant' / 'sort correctly at production to place immediately in the right container'; §IV.E: colour-coded receptacles — 'sacs noirs' / 'black bags' (general), 'sacs rouges' / 'red bags' (pathological), 'boîtes de sécurité' / 'safety boxes' (OPCT); WHO benchmark: ~15% contaminated vs 85% non-hazardous waste requiring source separation.</t>
        </is>
      </c>
      <c r="G14" s="2" t="n">
        <v>0.5</v>
      </c>
      <c r="H14" s="2" t="inlineStr">
        <is>
          <t>Plan national/programme opérationnel réactualisé en mai 2019 sous MSAS, financé par REDISSE et ISMEA. Document de planification et d'appui projet (≠1.0 loi, ≠0.75 arrêté/décret). / National plan/operational programme updated May 2019 under MSAS, funded by REDISSE and ISMEA. Planning and project-support document (≠1.0 law, ≠0.75 order/decree).</t>
        </is>
      </c>
      <c r="I14" s="2" t="n">
        <v>1</v>
      </c>
      <c r="J14" s="2" t="inlineStr">
        <is>
          <t>santé, environnement, assainissement, secteur privé, collectivités locales, formation sanitaire / health, environment, sanitation, private sector, local government, health facilities</t>
        </is>
      </c>
      <c r="K14" s="2" t="n">
        <v>0.25</v>
      </c>
      <c r="L14" s="2" t="inlineStr">
        <is>
          <t>utilisation, collecte, stockage, transport, traitement, élimination / use, collection, storage, transport, treatment, disposal</t>
        </is>
      </c>
      <c r="M14" s="2" t="n">
        <v>0.75</v>
      </c>
      <c r="N14" s="2" t="inlineStr">
        <is>
          <t>§V.1: detailed cost table — e.g. 2,210 units pre-collection equipment (FCFA 22.1M REDISSE + 17.5M ISMEA); 2,000 plastic waste bags (FCFA 400,000); needle shredders, DBM sterilisers, Montfort/electromechanical incinerators; PRONALIN/CLIN/CHSCT training budgets. Plan funds priority activities only, not full national strategy.</t>
        </is>
      </c>
      <c r="O14" s="3">
        <f>AVERAGE(G14,I14,K14,M14,P14)</f>
        <v/>
      </c>
      <c r="P14" s="2" t="n">
        <v>0.5</v>
      </c>
      <c r="Q14" s="2" t="inlineStr">
        <is>
          <t>Governance</t>
        </is>
      </c>
      <c r="R14" s="2" t="inlineStr">
        <is>
          <t>§V.A.2 Objectif 4 / §V.D: monitoring by CLIN/CHSCT (proximity), PRONALIN supervision, external oversight by DEEC/DREEC (environment directorates); waste pickers at dumps risk reusing contaminated recycled objects.</t>
        </is>
      </c>
      <c r="S14" s="2" t="n">
        <v>1</v>
      </c>
      <c r="T14" s="2" t="n">
        <v>0.25</v>
      </c>
      <c r="U14" s="2" t="inlineStr">
        <is>
          <t>Diagnostic: external supervision insufficient; recovery of reusables/recyclables at dumps poses infection risk.</t>
        </is>
      </c>
      <c r="V14" s="3">
        <f>AVERAGE(P14,T14)</f>
        <v/>
      </c>
      <c r="W14" s="2" t="inlineStr">
        <is>
          <t>Suivi-évaluation — risque de récupération d'objets plastiques contaminés en décharge. / M&amp;E — risk of recovering contaminated plastic objects at dumps.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2026-07-21T15:09:04Z</dcterms:created>
  <dcterms:modified xmlns:dcterms="http://purl.org/dc/terms/" xmlns:xsi="http://www.w3.org/2001/XMLSchema-instance" xsi:type="dcterms:W3CDTF">2026-07-21T15:09:04Z</dcterms:modified>
</cp:coreProperties>
</file>