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Biomedical waste management plan — updated, May 2019 (REDISSE / ISMEA)</t>
        </is>
      </c>
      <c r="B2" s="2" t="inlineStr">
        <is>
          <t>https://www.sante.gouv.sn/sites/default/files/plan_gestion_dechets_biom%C3%A9dicaux_0.pdf</t>
        </is>
      </c>
      <c r="C2" s="2" t="n">
        <v>2019</v>
      </c>
      <c r="D2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2" s="2" t="n">
        <v>0</v>
      </c>
      <c r="F2" s="2" t="inlineStr"/>
      <c r="G2" s="2" t="n">
        <v>0.25</v>
      </c>
      <c r="H2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2" s="2" t="n">
        <v>0.5</v>
      </c>
      <c r="J2" s="2" t="inlineStr">
        <is>
          <t>health, waste management, environment, municipalities, industry</t>
        </is>
      </c>
      <c r="K2" s="2" t="n">
        <v>0.5</v>
      </c>
      <c r="L2" s="2" t="inlineStr">
        <is>
          <t>consumption, disposal</t>
        </is>
      </c>
      <c r="M2" s="2" t="n">
        <v>0.5</v>
      </c>
      <c r="N2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2" s="3">
        <f>AVERAGE(G2,I2,K2,M2,P2)</f>
        <v/>
      </c>
      <c r="P2" s="2" t="n">
        <v>0.4</v>
      </c>
      <c r="Q2" s="2" t="inlineStr">
        <is>
          <t>Waste management</t>
        </is>
      </c>
      <c r="R2" s="2" t="inlineStr">
        <is>
          <t>Section V.B / IV.E: mandatory source segregation — waste must be sorted at production and placed immediately in the correct container; separates contaminated (~15% WHO benchmark) from non-hazardous waste.</t>
        </is>
      </c>
      <c r="S2" s="2" t="n">
        <v>1</v>
      </c>
      <c r="T2" s="2" t="n">
        <v>0.5</v>
      </c>
      <c r="U2" s="2" t="inlineStr">
        <is>
          <t>MSAS/PRONALIN designated to lead implementation; CLIN/CHSCT facility-level supervision planned. No fines or penalties in the plan itself (+0.25 authority, +0.25 monitoring via supervision).</t>
        </is>
      </c>
      <c r="V2" s="3">
        <f>AVERAGE(P2,T2)</f>
        <v/>
      </c>
      <c r="W2" s="2" t="inlineStr">
        <is>
          <t>Mandatory sorting procedure for clinical waste streams including plastic containers.</t>
        </is>
      </c>
    </row>
    <row r="3">
      <c r="A3" s="2" t="inlineStr">
        <is>
          <t>Biomedical waste management plan — updated, May 2019 (REDISSE / ISMEA)</t>
        </is>
      </c>
      <c r="B3" s="2" t="inlineStr">
        <is>
          <t>https://www.sante.gouv.sn/sites/default/files/plan_gestion_dechets_biom%C3%A9dicaux_0.pdf</t>
        </is>
      </c>
      <c r="C3" s="2" t="n">
        <v>2019</v>
      </c>
      <c r="D3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3" s="2" t="n">
        <v>0</v>
      </c>
      <c r="F3" s="2" t="inlineStr"/>
      <c r="G3" s="2" t="n">
        <v>0.25</v>
      </c>
      <c r="H3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3" s="2" t="n">
        <v>0.5</v>
      </c>
      <c r="J3" s="2" t="inlineStr">
        <is>
          <t>health, waste management, environment, municipalities, industry</t>
        </is>
      </c>
      <c r="K3" s="2" t="n">
        <v>0.5</v>
      </c>
      <c r="L3" s="2" t="inlineStr">
        <is>
          <t>consumption, disposal</t>
        </is>
      </c>
      <c r="M3" s="2" t="n">
        <v>0.5</v>
      </c>
      <c r="N3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3" s="3">
        <f>AVERAGE(G3,I3,K3,M3,P3)</f>
        <v/>
      </c>
      <c r="P3" s="2" t="n">
        <v>0.4</v>
      </c>
      <c r="Q3" s="2" t="inlineStr">
        <is>
          <t>Waste management</t>
        </is>
      </c>
      <c r="R3" s="2" t="inlineStr">
        <is>
          <t>Section IV.E: colour-coded plastic receptacles — black plastic bags/bins for general waste (packaging, plastic bottles); yellow plastic bags for infectious waste; red bins for pathological waste; yellow safety boxes for sharps (OPCT).</t>
        </is>
      </c>
      <c r="S3" s="2" t="n">
        <v>1</v>
      </c>
      <c r="T3" s="2" t="n">
        <v>0.5</v>
      </c>
      <c r="U3" s="2" t="inlineStr">
        <is>
          <t>Receptacles must be non-transparent, moisture-resistant and closed; plan budgets 2,000 plastic bags. PRONALIN designated (+0.25 authority); facility assessments and CLIN monitoring (+0.25 monitoring).</t>
        </is>
      </c>
      <c r="V3" s="3">
        <f>AVERAGE(P3,T3)</f>
        <v/>
      </c>
      <c r="W3" s="2" t="inlineStr">
        <is>
          <t>Most explicit plastic mention — colour-coded plastic bags, bins and safety boxes.</t>
        </is>
      </c>
    </row>
    <row r="4">
      <c r="A4" s="2" t="inlineStr">
        <is>
          <t>Biomedical waste management plan — updated, May 2019 (REDISSE / ISMEA)</t>
        </is>
      </c>
      <c r="B4" s="2" t="inlineStr">
        <is>
          <t>https://www.sante.gouv.sn/sites/default/files/plan_gestion_dechets_biom%C3%A9dicaux_0.pdf</t>
        </is>
      </c>
      <c r="C4" s="2" t="n">
        <v>2019</v>
      </c>
      <c r="D4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4" s="2" t="n">
        <v>0</v>
      </c>
      <c r="F4" s="2" t="inlineStr"/>
      <c r="G4" s="2" t="n">
        <v>0.25</v>
      </c>
      <c r="H4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4" s="2" t="n">
        <v>0.5</v>
      </c>
      <c r="J4" s="2" t="inlineStr">
        <is>
          <t>health, waste management, environment, municipalities, industry</t>
        </is>
      </c>
      <c r="K4" s="2" t="n">
        <v>0.5</v>
      </c>
      <c r="L4" s="2" t="inlineStr">
        <is>
          <t>consumption, disposal</t>
        </is>
      </c>
      <c r="M4" s="2" t="n">
        <v>0.5</v>
      </c>
      <c r="N4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4" s="3">
        <f>AVERAGE(G4,I4,K4,M4,P4)</f>
        <v/>
      </c>
      <c r="P4" s="2" t="n">
        <v>1</v>
      </c>
      <c r="Q4" s="2" t="inlineStr">
        <is>
          <t>End of life</t>
        </is>
      </c>
      <c r="R4" s="2" t="inlineStr">
        <is>
          <t>Section VI.1: biomedical waste that cannot be incinerated includes 'Halogenated Plastics (PVC)'; pre-sorting required before incineration.</t>
        </is>
      </c>
      <c r="S4" s="2" t="n">
        <v>1</v>
      </c>
      <c r="T4" s="2" t="n">
        <v>0.25</v>
      </c>
      <c r="U4" s="2" t="inlineStr">
        <is>
          <t>MSAS-led plan sets prohibition on PVC incineration (+0.25 authority designated). No enforcement penalties specified in the plan itself.</t>
        </is>
      </c>
      <c r="V4" s="3">
        <f>AVERAGE(P4,T4)</f>
        <v/>
      </c>
      <c r="W4" s="2" t="inlineStr">
        <is>
          <t>Direct regulatory prohibition on incinerating halogenated clinical plastics (PVC).</t>
        </is>
      </c>
    </row>
    <row r="5">
      <c r="A5" s="2" t="inlineStr">
        <is>
          <t>Biomedical waste management plan — updated, May 2019 (REDISSE / ISMEA)</t>
        </is>
      </c>
      <c r="B5" s="2" t="inlineStr">
        <is>
          <t>https://www.sante.gouv.sn/sites/default/files/plan_gestion_dechets_biom%C3%A9dicaux_0.pdf</t>
        </is>
      </c>
      <c r="C5" s="2" t="n">
        <v>2019</v>
      </c>
      <c r="D5" s="2" t="inlineStr">
        <is>
          <t>Update the national biomedical waste management plan to require source segregation, colour-coded plastic collection receptacles (bags, bins, safety boxes) in health facilities, treatment of plastic-packaged clinical waste, and prohibition of incinerating halogenated plastics (PVC) in biomedical waste streams.</t>
        </is>
      </c>
      <c r="E5" s="2" t="n">
        <v>0</v>
      </c>
      <c r="F5" s="2" t="inlineStr"/>
      <c r="G5" s="2" t="n">
        <v>0.25</v>
      </c>
      <c r="H5" s="2" t="inlineStr">
        <is>
          <t>National operational plan updated May 2019 under the Ministry of Health (MSAS), funded by World Bank REDISSE and ISMEA. Planning document without binding quantifiable national targets (≠1.0 law, ≠0.75 decree).</t>
        </is>
      </c>
      <c r="I5" s="2" t="n">
        <v>0.5</v>
      </c>
      <c r="J5" s="2" t="inlineStr">
        <is>
          <t>health, waste management, environment, municipalities, industry</t>
        </is>
      </c>
      <c r="K5" s="2" t="n">
        <v>0.5</v>
      </c>
      <c r="L5" s="2" t="inlineStr">
        <is>
          <t>consumption, disposal</t>
        </is>
      </c>
      <c r="M5" s="2" t="n">
        <v>0.5</v>
      </c>
      <c r="N5" s="2" t="inlineStr">
        <is>
          <t>Section V.1 cost table: e.g. 2,210 pre-collection units (FCFA 22.1M REDISSE + 17.5M ISMEA); 2,000 plastic waste bags (FCFA 400,000); incinerators and sterilisers budgeted under donor projects.</t>
        </is>
      </c>
      <c r="O5" s="3">
        <f>AVERAGE(G5,I5,K5,M5,P5)</f>
        <v/>
      </c>
      <c r="P5" s="2" t="n">
        <v>0.8</v>
      </c>
      <c r="Q5" s="2" t="inlineStr">
        <is>
          <t>End of life</t>
        </is>
      </c>
      <c r="R5" s="2" t="inlineStr">
        <is>
          <t>Section V.A.2 / IV.2.3: provision of treatment infrastructure (incinerators, autoclaves/shredders, controlled landfill cells) for biomedical waste including plastic-packaged clinical waste.</t>
        </is>
      </c>
      <c r="S5" s="2" t="n">
        <v>1</v>
      </c>
      <c r="T5" s="2" t="n">
        <v>0.25</v>
      </c>
      <c r="U5" s="2" t="inlineStr">
        <is>
          <t>Infrastructure investment budgeted under REDISSE/ISMEA (+0.25 authority). No enforcement or monitoring mechanism in plan text for infrastructure delivery.</t>
        </is>
      </c>
      <c r="V5" s="3">
        <f>AVERAGE(P5,T5)</f>
        <v/>
      </c>
      <c r="W5" s="2" t="inlineStr">
        <is>
          <t>Infrastructure for disposal of plastic-packaged biomedical waste after segregation/treatment.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2026-07-23T09:57:20Z</dcterms:created>
  <dcterms:modified xmlns:dcterms="http://purl.org/dc/terms/" xmlns:xsi="http://www.w3.org/2001/XMLSchema-instance" xsi:type="dcterms:W3CDTF">2026-07-23T09:57:20Z</dcterms:modified>
</cp:coreProperties>
</file>