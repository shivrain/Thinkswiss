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4P Index Codin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8" customWidth="1" min="1" max="1"/>
    <col width="52" customWidth="1" min="2" max="2"/>
    <col width="10" customWidth="1" min="3" max="3"/>
    <col width="52" customWidth="1" min="4" max="4"/>
    <col width="12" customWidth="1" min="5" max="5"/>
    <col width="60" customWidth="1" min="6" max="6"/>
    <col width="10" customWidth="1" min="7" max="7"/>
    <col width="52" customWidth="1" min="8" max="8"/>
    <col width="14" customWidth="1" min="9" max="9"/>
    <col width="40" customWidth="1" min="10" max="10"/>
    <col width="14" customWidth="1" min="11" max="11"/>
    <col width="36" customWidth="1" min="12" max="12"/>
    <col width="12" customWidth="1" min="13" max="13"/>
    <col width="52" customWidth="1" min="14" max="14"/>
    <col width="12" customWidth="1" min="15" max="15"/>
    <col width="14" customWidth="1" min="16" max="16"/>
    <col width="22" customWidth="1" min="17" max="17"/>
    <col width="60" customWidth="1" min="18" max="18"/>
    <col width="14" customWidth="1" min="19" max="19"/>
    <col width="18" customWidth="1" min="20" max="20"/>
    <col width="52" customWidth="1" min="21" max="21"/>
    <col width="14" customWidth="1" min="22" max="22"/>
    <col width="52" customWidth="1" min="23" max="23"/>
  </cols>
  <sheetData>
    <row r="1">
      <c r="A1" s="1" t="inlineStr">
        <is>
          <t>A — policy_name</t>
        </is>
      </c>
      <c r="B1" s="1" t="inlineStr">
        <is>
          <t>B — policy_url</t>
        </is>
      </c>
      <c r="C1" s="1" t="inlineStr">
        <is>
          <t>C — policy_year</t>
        </is>
      </c>
      <c r="D1" s="1" t="inlineStr">
        <is>
          <t>D — policy_objective</t>
        </is>
      </c>
      <c r="E1" s="1" t="inlineStr">
        <is>
          <t>E — policy_target</t>
        </is>
      </c>
      <c r="F1" s="1" t="inlineStr">
        <is>
          <t>F — policy_target_text</t>
        </is>
      </c>
      <c r="G1" s="1" t="inlineStr">
        <is>
          <t>G — policy_type</t>
        </is>
      </c>
      <c r="H1" s="1" t="inlineStr">
        <is>
          <t>H — policy_type_justification</t>
        </is>
      </c>
      <c r="I1" s="1" t="inlineStr">
        <is>
          <t>I — policy_integration</t>
        </is>
      </c>
      <c r="J1" s="1" t="inlineStr">
        <is>
          <t>J — policy_sectors_list</t>
        </is>
      </c>
      <c r="K1" s="1" t="inlineStr">
        <is>
          <t>K — policy_circularity</t>
        </is>
      </c>
      <c r="L1" s="1" t="inlineStr">
        <is>
          <t>L — policy_lifecycle_phases_list</t>
        </is>
      </c>
      <c r="M1" s="1" t="inlineStr">
        <is>
          <t>M — policy_budget</t>
        </is>
      </c>
      <c r="N1" s="1" t="inlineStr">
        <is>
          <t>N — policy_budget_text</t>
        </is>
      </c>
      <c r="O1" s="1" t="inlineStr">
        <is>
          <t>O — policy_score</t>
        </is>
      </c>
      <c r="P1" s="1" t="inlineStr">
        <is>
          <t>P — instrument_type</t>
        </is>
      </c>
      <c r="Q1" s="1" t="inlineStr">
        <is>
          <t>Q — instrument_lifecycle_stage</t>
        </is>
      </c>
      <c r="R1" s="1" t="inlineStr">
        <is>
          <t>R — instrument_description</t>
        </is>
      </c>
      <c r="S1" s="1" t="inlineStr">
        <is>
          <t>S — instrument_in_force</t>
        </is>
      </c>
      <c r="T1" s="1" t="inlineStr">
        <is>
          <t>T — instrument_implementation</t>
        </is>
      </c>
      <c r="U1" s="1" t="inlineStr">
        <is>
          <t>U — instrument_implementation_text</t>
        </is>
      </c>
      <c r="V1" s="1" t="inlineStr">
        <is>
          <t>V — instrument_score</t>
        </is>
      </c>
      <c r="W1" s="1" t="inlineStr">
        <is>
          <t>W — comments</t>
        </is>
      </c>
    </row>
    <row r="2">
      <c r="A2" s="2" t="inlineStr">
        <is>
          <t>Biomedical waste management plan — updated, May 2019 (REDISSE / ISMEA)</t>
        </is>
      </c>
      <c r="B2" s="2" t="inlineStr">
        <is>
          <t>https://www.sante.gouv.sn/sites/default/files/plan_gestion_dechets_biom%C3%A9dicaux_0.pdf</t>
        </is>
      </c>
      <c r="C2" s="2" t="n">
        <v>2019</v>
      </c>
      <c r="D2" s="2" t="inlineStr">
        <is>
          <t>Update the national biomedical waste management plan to require source segregation, colour-coded plastic collection receptacles (bags, bins, safety boxes) in health facilities, treatment of plastic-packaged clinical waste, and prohibition of incinerating halogenated plastics (PVC) in biomedical waste streams.</t>
        </is>
      </c>
      <c r="E2" s="2" t="n">
        <v>0</v>
      </c>
      <c r="F2" s="2" t="inlineStr"/>
      <c r="G2" s="2" t="n">
        <v>0.25</v>
      </c>
      <c r="H2" s="2" t="inlineStr">
        <is>
          <t>National operational plan updated May 2019 under the Ministry of Health (MSAS), funded by World Bank REDISSE and ISMEA. Planning document without binding quantifiable national targets (≠1.0 law, ≠0.75 decree).</t>
        </is>
      </c>
      <c r="I2" s="2" t="n">
        <v>0.5</v>
      </c>
      <c r="J2" s="2" t="inlineStr">
        <is>
          <t>health, waste management, environment, municipalities, industry</t>
        </is>
      </c>
      <c r="K2" s="2" t="n">
        <v>0.5</v>
      </c>
      <c r="L2" s="2" t="inlineStr">
        <is>
          <t>consumption, disposal</t>
        </is>
      </c>
      <c r="M2" s="2" t="n">
        <v>0.5</v>
      </c>
      <c r="N2" s="2" t="inlineStr">
        <is>
          <t>Section V.1 cost table: e.g. 2,210 pre-collection units (FCFA 22.1M REDISSE + 17.5M ISMEA); 2,000 plastic waste bags (FCFA 400,000); incinerators and sterilisers budgeted under donor projects.</t>
        </is>
      </c>
      <c r="O2" s="3">
        <f>AVERAGE(G2,I2,K2,M2,P2)</f>
        <v/>
      </c>
      <c r="P2" s="2" t="n">
        <v>0.4</v>
      </c>
      <c r="Q2" s="2" t="inlineStr">
        <is>
          <t>Waste management</t>
        </is>
      </c>
      <c r="R2" s="2" t="inlineStr">
        <is>
          <t>Section V.B / IV.E: mandatory source segregation — waste must be sorted at production and placed immediately in the correct container; separates contaminated (~15% WHO benchmark) from non-hazardous waste.</t>
        </is>
      </c>
      <c r="S2" s="2" t="n">
        <v>1</v>
      </c>
      <c r="T2" s="2" t="n">
        <v>0.5</v>
      </c>
      <c r="U2" s="2" t="inlineStr">
        <is>
          <t>MSAS/PRONALIN designated to lead implementation; CLIN/CHSCT facility-level supervision planned. No fines or penalties in the plan itself (+0.25 authority, +0.25 monitoring via supervision).</t>
        </is>
      </c>
      <c r="V2" s="3">
        <f>AVERAGE(P2,T2)</f>
        <v/>
      </c>
      <c r="W2" s="2" t="inlineStr">
        <is>
          <t>Mandatory sorting procedure for clinical waste streams including plastic containers.</t>
        </is>
      </c>
    </row>
    <row r="3">
      <c r="A3" s="2" t="inlineStr">
        <is>
          <t>Biomedical waste management plan — updated, May 2019 (REDISSE / ISMEA)</t>
        </is>
      </c>
      <c r="B3" s="2" t="inlineStr">
        <is>
          <t>https://www.sante.gouv.sn/sites/default/files/plan_gestion_dechets_biom%C3%A9dicaux_0.pdf</t>
        </is>
      </c>
      <c r="C3" s="2" t="n">
        <v>2019</v>
      </c>
      <c r="D3" s="2" t="inlineStr">
        <is>
          <t>Update the national biomedical waste management plan to require source segregation, colour-coded plastic collection receptacles (bags, bins, safety boxes) in health facilities, treatment of plastic-packaged clinical waste, and prohibition of incinerating halogenated plastics (PVC) in biomedical waste streams.</t>
        </is>
      </c>
      <c r="E3" s="2" t="n">
        <v>0</v>
      </c>
      <c r="F3" s="2" t="inlineStr"/>
      <c r="G3" s="2" t="n">
        <v>0.25</v>
      </c>
      <c r="H3" s="2" t="inlineStr">
        <is>
          <t>National operational plan updated May 2019 under the Ministry of Health (MSAS), funded by World Bank REDISSE and ISMEA. Planning document without binding quantifiable national targets (≠1.0 law, ≠0.75 decree).</t>
        </is>
      </c>
      <c r="I3" s="2" t="n">
        <v>0.5</v>
      </c>
      <c r="J3" s="2" t="inlineStr">
        <is>
          <t>health, waste management, environment, municipalities, industry</t>
        </is>
      </c>
      <c r="K3" s="2" t="n">
        <v>0.5</v>
      </c>
      <c r="L3" s="2" t="inlineStr">
        <is>
          <t>consumption, disposal</t>
        </is>
      </c>
      <c r="M3" s="2" t="n">
        <v>0.5</v>
      </c>
      <c r="N3" s="2" t="inlineStr">
        <is>
          <t>Section V.1 cost table: e.g. 2,210 pre-collection units (FCFA 22.1M REDISSE + 17.5M ISMEA); 2,000 plastic waste bags (FCFA 400,000); incinerators and sterilisers budgeted under donor projects.</t>
        </is>
      </c>
      <c r="O3" s="3">
        <f>AVERAGE(G3,I3,K3,M3,P3)</f>
        <v/>
      </c>
      <c r="P3" s="2" t="n">
        <v>0.4</v>
      </c>
      <c r="Q3" s="2" t="inlineStr">
        <is>
          <t>Waste management</t>
        </is>
      </c>
      <c r="R3" s="2" t="inlineStr">
        <is>
          <t>Section IV.E: colour-coded plastic receptacles — black plastic bags/bins for general waste (packaging, plastic bottles); yellow plastic bags for infectious waste; red bins for pathological waste; yellow safety boxes for sharps (OPCT).</t>
        </is>
      </c>
      <c r="S3" s="2" t="n">
        <v>1</v>
      </c>
      <c r="T3" s="2" t="n">
        <v>0.5</v>
      </c>
      <c r="U3" s="2" t="inlineStr">
        <is>
          <t>Receptacles must be non-transparent, moisture-resistant and closed; plan budgets 2,000 plastic bags. PRONALIN designated (+0.25 authority); facility assessments and CLIN monitoring (+0.25 monitoring).</t>
        </is>
      </c>
      <c r="V3" s="3">
        <f>AVERAGE(P3,T3)</f>
        <v/>
      </c>
      <c r="W3" s="2" t="inlineStr">
        <is>
          <t>Most explicit plastic mention — colour-coded plastic bags, bins and safety boxes.</t>
        </is>
      </c>
    </row>
    <row r="4">
      <c r="A4" s="2" t="inlineStr">
        <is>
          <t>Biomedical waste management plan — updated, May 2019 (REDISSE / ISMEA)</t>
        </is>
      </c>
      <c r="B4" s="2" t="inlineStr">
        <is>
          <t>https://www.sante.gouv.sn/sites/default/files/plan_gestion_dechets_biom%C3%A9dicaux_0.pdf</t>
        </is>
      </c>
      <c r="C4" s="2" t="n">
        <v>2019</v>
      </c>
      <c r="D4" s="2" t="inlineStr">
        <is>
          <t>Update the national biomedical waste management plan to require source segregation, colour-coded plastic collection receptacles (bags, bins, safety boxes) in health facilities, treatment of plastic-packaged clinical waste, and prohibition of incinerating halogenated plastics (PVC) in biomedical waste streams.</t>
        </is>
      </c>
      <c r="E4" s="2" t="n">
        <v>0</v>
      </c>
      <c r="F4" s="2" t="inlineStr"/>
      <c r="G4" s="2" t="n">
        <v>0.25</v>
      </c>
      <c r="H4" s="2" t="inlineStr">
        <is>
          <t>National operational plan updated May 2019 under the Ministry of Health (MSAS), funded by World Bank REDISSE and ISMEA. Planning document without binding quantifiable national targets (≠1.0 law, ≠0.75 decree).</t>
        </is>
      </c>
      <c r="I4" s="2" t="n">
        <v>0.5</v>
      </c>
      <c r="J4" s="2" t="inlineStr">
        <is>
          <t>health, waste management, environment, municipalities, industry</t>
        </is>
      </c>
      <c r="K4" s="2" t="n">
        <v>0.5</v>
      </c>
      <c r="L4" s="2" t="inlineStr">
        <is>
          <t>consumption, disposal</t>
        </is>
      </c>
      <c r="M4" s="2" t="n">
        <v>0.5</v>
      </c>
      <c r="N4" s="2" t="inlineStr">
        <is>
          <t>Section V.1 cost table: e.g. 2,210 pre-collection units (FCFA 22.1M REDISSE + 17.5M ISMEA); 2,000 plastic waste bags (FCFA 400,000); incinerators and sterilisers budgeted under donor projects.</t>
        </is>
      </c>
      <c r="O4" s="3">
        <f>AVERAGE(G4,I4,K4,M4,P4)</f>
        <v/>
      </c>
      <c r="P4" s="2" t="n">
        <v>1</v>
      </c>
      <c r="Q4" s="2" t="inlineStr">
        <is>
          <t>End of life</t>
        </is>
      </c>
      <c r="R4" s="2" t="inlineStr">
        <is>
          <t>Section VI.1: biomedical waste that cannot be incinerated includes 'Halogenated Plastics (PVC)'; pre-sorting required before incineration.</t>
        </is>
      </c>
      <c r="S4" s="2" t="n">
        <v>1</v>
      </c>
      <c r="T4" s="2" t="n">
        <v>0.25</v>
      </c>
      <c r="U4" s="2" t="inlineStr">
        <is>
          <t>MSAS-led plan sets prohibition on PVC incineration (+0.25 authority designated). No enforcement penalties specified in the plan itself.</t>
        </is>
      </c>
      <c r="V4" s="3">
        <f>AVERAGE(P4,T4)</f>
        <v/>
      </c>
      <c r="W4" s="2" t="inlineStr">
        <is>
          <t>Direct regulatory prohibition on incinerating halogenated clinical plastics (PVC).</t>
        </is>
      </c>
    </row>
    <row r="5">
      <c r="A5" s="2" t="inlineStr">
        <is>
          <t>Biomedical waste management plan — updated, May 2019 (REDISSE / ISMEA)</t>
        </is>
      </c>
      <c r="B5" s="2" t="inlineStr">
        <is>
          <t>https://www.sante.gouv.sn/sites/default/files/plan_gestion_dechets_biom%C3%A9dicaux_0.pdf</t>
        </is>
      </c>
      <c r="C5" s="2" t="n">
        <v>2019</v>
      </c>
      <c r="D5" s="2" t="inlineStr">
        <is>
          <t>Update the national biomedical waste management plan to require source segregation, colour-coded plastic collection receptacles (bags, bins, safety boxes) in health facilities, treatment of plastic-packaged clinical waste, and prohibition of incinerating halogenated plastics (PVC) in biomedical waste streams.</t>
        </is>
      </c>
      <c r="E5" s="2" t="n">
        <v>0</v>
      </c>
      <c r="F5" s="2" t="inlineStr"/>
      <c r="G5" s="2" t="n">
        <v>0.25</v>
      </c>
      <c r="H5" s="2" t="inlineStr">
        <is>
          <t>National operational plan updated May 2019 under the Ministry of Health (MSAS), funded by World Bank REDISSE and ISMEA. Planning document without binding quantifiable national targets (≠1.0 law, ≠0.75 decree).</t>
        </is>
      </c>
      <c r="I5" s="2" t="n">
        <v>0.5</v>
      </c>
      <c r="J5" s="2" t="inlineStr">
        <is>
          <t>health, waste management, environment, municipalities, industry</t>
        </is>
      </c>
      <c r="K5" s="2" t="n">
        <v>0.5</v>
      </c>
      <c r="L5" s="2" t="inlineStr">
        <is>
          <t>consumption, disposal</t>
        </is>
      </c>
      <c r="M5" s="2" t="n">
        <v>0.5</v>
      </c>
      <c r="N5" s="2" t="inlineStr">
        <is>
          <t>Section V.1 cost table: e.g. 2,210 pre-collection units (FCFA 22.1M REDISSE + 17.5M ISMEA); 2,000 plastic waste bags (FCFA 400,000); incinerators and sterilisers budgeted under donor projects.</t>
        </is>
      </c>
      <c r="O5" s="3">
        <f>AVERAGE(G5,I5,K5,M5,P5)</f>
        <v/>
      </c>
      <c r="P5" s="2" t="n">
        <v>0.8</v>
      </c>
      <c r="Q5" s="2" t="inlineStr">
        <is>
          <t>End of life</t>
        </is>
      </c>
      <c r="R5" s="2" t="inlineStr">
        <is>
          <t>Section V.A.2 / IV.2.3: provision of treatment infrastructure (incinerators, autoclaves/shredders, controlled landfill cells) for biomedical waste including plastic-packaged clinical waste.</t>
        </is>
      </c>
      <c r="S5" s="2" t="n">
        <v>1</v>
      </c>
      <c r="T5" s="2" t="n">
        <v>0.25</v>
      </c>
      <c r="U5" s="2" t="inlineStr">
        <is>
          <t>Infrastructure investment budgeted under REDISSE/ISMEA (+0.25 authority). No enforcement or monitoring mechanism in plan text for infrastructure delivery.</t>
        </is>
      </c>
      <c r="V5" s="3">
        <f>AVERAGE(P5,T5)</f>
        <v/>
      </c>
      <c r="W5" s="2" t="inlineStr">
        <is>
          <t>Infrastructure for disposal of plastic-packaged biomedical waste after segregation/treatment.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2026-07-23T10:30:37Z</dcterms:created>
  <dcterms:modified xmlns:dcterms="http://purl.org/dc/terms/" xmlns:xsi="http://www.w3.org/2001/XMLSchema-instance" xsi:type="dcterms:W3CDTF">2026-07-23T10:30:37Z</dcterms:modified>
</cp:coreProperties>
</file>