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E2EF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
  <sheetViews>
    <sheetView workbookViewId="0">
      <pane ySplit="1" topLeftCell="A2" activePane="bottomLeft" state="frozen"/>
      <selection pane="bottomLeft" activeCell="A1" sqref="A1"/>
    </sheetView>
  </sheetViews>
  <sheetFormatPr baseColWidth="8" defaultRowHeight="15"/>
  <cols>
    <col width="48" customWidth="1" min="1" max="1"/>
    <col width="52" customWidth="1" min="2" max="2"/>
    <col width="10" customWidth="1" min="3" max="3"/>
    <col width="52" customWidth="1" min="4" max="4"/>
    <col width="12" customWidth="1" min="5" max="5"/>
    <col width="60" customWidth="1" min="6" max="6"/>
    <col width="10" customWidth="1" min="7" max="7"/>
    <col width="52" customWidth="1" min="8" max="8"/>
    <col width="14" customWidth="1" min="9" max="9"/>
    <col width="40" customWidth="1" min="10" max="10"/>
    <col width="14" customWidth="1" min="11" max="11"/>
    <col width="36" customWidth="1" min="12" max="12"/>
    <col width="12" customWidth="1" min="13" max="13"/>
    <col width="52" customWidth="1" min="14" max="14"/>
    <col width="12" customWidth="1" min="15" max="15"/>
    <col width="14" customWidth="1" min="16" max="16"/>
    <col width="22" customWidth="1" min="17" max="17"/>
    <col width="60" customWidth="1" min="18" max="18"/>
    <col width="14" customWidth="1" min="19" max="19"/>
    <col width="18" customWidth="1" min="20" max="20"/>
    <col width="52" customWidth="1" min="21" max="21"/>
    <col width="14" customWidth="1" min="22" max="22"/>
    <col width="52" customWidth="1" min="23" max="23"/>
  </cols>
  <sheetData>
    <row r="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Projet de Promotion de la Gestion intégrée et de l'Économie des Déchets solides (PROMOGED) / Solid Waste Integrated Management and Economy Promotion Project (PROMOGED)</t>
        </is>
      </c>
      <c r="B2" s="2" t="inlineStr">
        <is>
          <t>https://www.urbanisme.gouv.sn/actualites/r%C3%A9union-du-comit%C3%A9-de-pilotage-du-promoged</t>
        </is>
      </c>
      <c r="C2" s="2" t="n">
        <v>2021</v>
      </c>
      <c r="D2" s="2" t="inlineStr">
        <is>
          <t>Projet national (Banque mondiale P161477, AFD, BEI, coopération espagnole) pour renforcer la gouvernance des déchets solides et moderniser les services de collecte, tri, transfert, traitement et élimination dans les agglomérations sélectionnées — développer les filières de valorisation (dont plastiques ~9 % du flux à Mbeubeuss), réhabiliter les décharges (Mbeubeuss, Mbao) et instaurer des PPP et financement basé sur les résultats (REP). Cadre juridique : Arrêté 027932/2020 (JO 7392 du 16/01/2021). / National project (World Bank P161477, AFD, EIB, Spanish cooperation) to strengthen solid-waste governance and modernise collection, sorting, transfer, treatment and disposal services in selected agglomerations — develop valorisation value chains (including plastics ~9% of Mbeubeuss stream), rehabilitate dumpsites (Mbeubeuss, Mbao) and establish PPPs and results-based financing (RBF). Legal framework: Order 027932/2020 (Official Gazette 7392 of 16/01/2021).</t>
        </is>
      </c>
      <c r="E2" s="2" t="n">
        <v>0.75</v>
      </c>
      <c r="F2" s="2" t="inlineStr">
        <is>
          <t>PDO (WB P161477): 'strengthen the governance of solid waste management in Senegal and improve solid waste management services in selected municipalities' / 'strengthen SWM governance and improve SWM services in selected municipalities'; Phase I: 350 infrastructures, 15 landfills rehabilitated, 7 regions / 148 communes (promoged.sn); WB indicators: 10 SW collection/transfer facilities; sanitary landfills operational.</t>
        </is>
      </c>
      <c r="G2" s="2" t="n">
        <v>0.5</v>
      </c>
      <c r="H2" s="2" t="inlineStr">
        <is>
          <t>Programme/projet national de développement financé par bailleurs (≠1.0 loi). Arrêté ministériel n° 027932/2020 crée le comité de pilotage (≠1.0); instrument de gouvernance projet. / National development programme/project financed by donors (≠1.0 law). Ministerial Order No. 027932/2020 creates steering committee (≠1.0); project governance instrument.</t>
        </is>
      </c>
      <c r="I2" s="2" t="n">
        <v>1</v>
      </c>
      <c r="J2" s="2" t="inlineStr">
        <is>
          <t>hygiène urbaine, gestion des déchets solides, collectivités territoriales, secteur privé, environnement, économie circulaire, agriculture (compost) / urban hygiene, solid waste management, local government, private sector, environment, circular economy, agriculture (compost)</t>
        </is>
      </c>
      <c r="K2" s="2" t="n">
        <v>0.75</v>
      </c>
      <c r="L2" s="2" t="inlineStr">
        <is>
          <t>collecte, tri, transfert, valorisation, recyclage, élimination, gouvernance / collection, sorting, transfer, valorisation, recycling, disposal, governance</t>
        </is>
      </c>
      <c r="M2" s="2" t="n">
        <v>0.75</v>
      </c>
      <c r="N2" s="2" t="inlineStr">
        <is>
          <t>Total ~FCFA 206 billion Phase I (WB, AFD, Spanish cooperation, EIB per promoged.sn); WB credit US$175M (P161477): Component 1 US$20M governance; Component 2 US$256.1M infrastructure; Component 3 US$18.6M implementation; RBF/REP disbursement linked to reform indicators.</t>
        </is>
      </c>
      <c r="O2" s="3">
        <f>AVERAGE(G2,I2,K2,M2,P2)</f>
        <v/>
      </c>
      <c r="P2" s="2" t="n">
        <v>0.5</v>
      </c>
      <c r="Q2" s="2" t="inlineStr">
        <is>
          <t>Governance</t>
        </is>
      </c>
      <c r="R2" s="2" t="inlineStr">
        <is>
          <t>WB P161477 PDO: 'strengthen the governance of solid waste management in Senegal and improve solid waste management services in selected municipalities' / 'strengthen SWM governance and improve SWM services in selected municipalities'; implemented by Ministry of Urban Planning/Housing/Public Hygiene via UCG (later SONAGED).</t>
        </is>
      </c>
      <c r="S2" s="2" t="n">
        <v>1</v>
      </c>
      <c r="T2" s="2" t="n">
        <v>0.75</v>
      </c>
      <c r="U2" s="2" t="inlineStr">
        <is>
          <t>WB Board approval March 2020; Phase I 2020–2026; 7 regions (Dakar, Thiès, Saint-Louis, Matam, Kolda, Sédhiou, Ziguinchor).</t>
        </is>
      </c>
      <c r="V2" s="3">
        <f>AVERAGE(P2,T2)</f>
        <v/>
      </c>
      <c r="W2" s="2" t="inlineStr">
        <is>
          <t>Projet phare déchets solides — successeur opérationnel de l'UCG, intégré à SONAGED (2022). / Flagship solid-waste project — operational successor to UCG, integrated into SONAGED (2022).</t>
        </is>
      </c>
    </row>
    <row r="3">
      <c r="A3" s="2" t="inlineStr">
        <is>
          <t>Projet de Promotion de la Gestion intégrée et de l'Économie des Déchets solides (PROMOGED) / Solid Waste Integrated Management and Economy Promotion Project (PROMOGED)</t>
        </is>
      </c>
      <c r="B3" s="2" t="inlineStr">
        <is>
          <t>https://www.urbanisme.gouv.sn/actualites/r%C3%A9union-du-comit%C3%A9-de-pilotage-du-promoged</t>
        </is>
      </c>
      <c r="C3" s="2" t="n">
        <v>2021</v>
      </c>
      <c r="D3" s="2" t="inlineStr">
        <is>
          <t>Projet national (Banque mondiale P161477, AFD, BEI, coopération espagnole) pour renforcer la gouvernance des déchets solides et moderniser les services de collecte, tri, transfert, traitement et élimination dans les agglomérations sélectionnées — développer les filières de valorisation (dont plastiques ~9 % du flux à Mbeubeuss), réhabiliter les décharges (Mbeubeuss, Mbao) et instaurer des PPP et financement basé sur les résultats (REP). Cadre juridique : Arrêté 027932/2020 (JO 7392 du 16/01/2021). / National project (World Bank P161477, AFD, EIB, Spanish cooperation) to strengthen solid-waste governance and modernise collection, sorting, transfer, treatment and disposal services in selected agglomerations — develop valorisation value chains (including plastics ~9% of Mbeubeuss stream), rehabilitate dumpsites (Mbeubeuss, Mbao) and establish PPPs and results-based financing (RBF). Legal framework: Order 027932/2020 (Official Gazette 7392 of 16/01/2021).</t>
        </is>
      </c>
      <c r="E3" s="2" t="n">
        <v>0.75</v>
      </c>
      <c r="F3" s="2" t="inlineStr">
        <is>
          <t>PDO (WB P161477): 'strengthen the governance of solid waste management in Senegal and improve solid waste management services in selected municipalities' / 'strengthen SWM governance and improve SWM services in selected municipalities'; Phase I: 350 infrastructures, 15 landfills rehabilitated, 7 regions / 148 communes (promoged.sn); WB indicators: 10 SW collection/transfer facilities; sanitary landfills operational.</t>
        </is>
      </c>
      <c r="G3" s="2" t="n">
        <v>0.5</v>
      </c>
      <c r="H3" s="2" t="inlineStr">
        <is>
          <t>Programme/projet national de développement financé par bailleurs (≠1.0 loi). Arrêté ministériel n° 027932/2020 crée le comité de pilotage (≠1.0); instrument de gouvernance projet. / National development programme/project financed by donors (≠1.0 law). Ministerial Order No. 027932/2020 creates steering committee (≠1.0); project governance instrument.</t>
        </is>
      </c>
      <c r="I3" s="2" t="n">
        <v>1</v>
      </c>
      <c r="J3" s="2" t="inlineStr">
        <is>
          <t>hygiène urbaine, gestion des déchets solides, collectivités territoriales, secteur privé, environnement, économie circulaire, agriculture (compost) / urban hygiene, solid waste management, local government, private sector, environment, circular economy, agriculture (compost)</t>
        </is>
      </c>
      <c r="K3" s="2" t="n">
        <v>0.75</v>
      </c>
      <c r="L3" s="2" t="inlineStr">
        <is>
          <t>collecte, tri, transfert, valorisation, recyclage, élimination, gouvernance / collection, sorting, transfer, valorisation, recycling, disposal, governance</t>
        </is>
      </c>
      <c r="M3" s="2" t="n">
        <v>0.75</v>
      </c>
      <c r="N3" s="2" t="inlineStr">
        <is>
          <t>Total ~FCFA 206 billion Phase I (WB, AFD, Spanish cooperation, EIB per promoged.sn); WB credit US$175M (P161477): Component 1 US$20M governance; Component 2 US$256.1M infrastructure; Component 3 US$18.6M implementation; RBF/REP disbursement linked to reform indicators.</t>
        </is>
      </c>
      <c r="O3" s="3">
        <f>AVERAGE(G3,I3,K3,M3,P3)</f>
        <v/>
      </c>
      <c r="P3" s="2" t="n">
        <v>0.75</v>
      </c>
      <c r="Q3" s="2" t="inlineStr">
        <is>
          <t>Governance</t>
        </is>
      </c>
      <c r="R3" s="2" t="inlineStr">
        <is>
          <t>Arrêté 027932 Art. 1: creates 'Comité de pilotage du Projet de Promotion de la Gestion intégrée et de l Économie des Déchets solides (PROMOGED)' / 'PROMOGED steering committee' within Ministry of Urban Planning, Housing and Public Hygiene; published JO n° 7392 du 16 janvier 2021.</t>
        </is>
      </c>
      <c r="S3" s="2" t="n">
        <v>1</v>
      </c>
      <c r="T3" s="2" t="n">
        <v>0.75</v>
      </c>
      <c r="U3" s="2" t="inlineStr">
        <is>
          <t>Art. 9: effective from signature date; COPIL dissolved automatically at project closure; secretariat by UCG Coordinator.</t>
        </is>
      </c>
      <c r="V3" s="3">
        <f>AVERAGE(P3,T3)</f>
        <v/>
      </c>
      <c r="W3" s="2" t="inlineStr">
        <is>
          <t>Instrument juridique officiel — JO 7392 / arrêté 027932. / Official legal instrument — Official Gazette 7392 / Order 027932.</t>
        </is>
      </c>
    </row>
    <row r="4">
      <c r="A4" s="2" t="inlineStr">
        <is>
          <t>Projet de Promotion de la Gestion intégrée et de l'Économie des Déchets solides (PROMOGED) / Solid Waste Integrated Management and Economy Promotion Project (PROMOGED)</t>
        </is>
      </c>
      <c r="B4" s="2" t="inlineStr">
        <is>
          <t>https://www.urbanisme.gouv.sn/actualites/r%C3%A9union-du-comit%C3%A9-de-pilotage-du-promoged</t>
        </is>
      </c>
      <c r="C4" s="2" t="n">
        <v>2021</v>
      </c>
      <c r="D4" s="2" t="inlineStr">
        <is>
          <t>Projet national (Banque mondiale P161477, AFD, BEI, coopération espagnole) pour renforcer la gouvernance des déchets solides et moderniser les services de collecte, tri, transfert, traitement et élimination dans les agglomérations sélectionnées — développer les filières de valorisation (dont plastiques ~9 % du flux à Mbeubeuss), réhabiliter les décharges (Mbeubeuss, Mbao) et instaurer des PPP et financement basé sur les résultats (REP). Cadre juridique : Arrêté 027932/2020 (JO 7392 du 16/01/2021). / National project (World Bank P161477, AFD, EIB, Spanish cooperation) to strengthen solid-waste governance and modernise collection, sorting, transfer, treatment and disposal services in selected agglomerations — develop valorisation value chains (including plastics ~9% of Mbeubeuss stream), rehabilitate dumpsites (Mbeubeuss, Mbao) and establish PPPs and results-based financing (RBF). Legal framework: Order 027932/2020 (Official Gazette 7392 of 16/01/2021).</t>
        </is>
      </c>
      <c r="E4" s="2" t="n">
        <v>0.75</v>
      </c>
      <c r="F4" s="2" t="inlineStr">
        <is>
          <t>PDO (WB P161477): 'strengthen the governance of solid waste management in Senegal and improve solid waste management services in selected municipalities' / 'strengthen SWM governance and improve SWM services in selected municipalities'; Phase I: 350 infrastructures, 15 landfills rehabilitated, 7 regions / 148 communes (promoged.sn); WB indicators: 10 SW collection/transfer facilities; sanitary landfills operational.</t>
        </is>
      </c>
      <c r="G4" s="2" t="n">
        <v>0.5</v>
      </c>
      <c r="H4" s="2" t="inlineStr">
        <is>
          <t>Programme/projet national de développement financé par bailleurs (≠1.0 loi). Arrêté ministériel n° 027932/2020 crée le comité de pilotage (≠1.0); instrument de gouvernance projet. / National development programme/project financed by donors (≠1.0 law). Ministerial Order No. 027932/2020 creates steering committee (≠1.0); project governance instrument.</t>
        </is>
      </c>
      <c r="I4" s="2" t="n">
        <v>1</v>
      </c>
      <c r="J4" s="2" t="inlineStr">
        <is>
          <t>hygiène urbaine, gestion des déchets solides, collectivités territoriales, secteur privé, environnement, économie circulaire, agriculture (compost) / urban hygiene, solid waste management, local government, private sector, environment, circular economy, agriculture (compost)</t>
        </is>
      </c>
      <c r="K4" s="2" t="n">
        <v>0.75</v>
      </c>
      <c r="L4" s="2" t="inlineStr">
        <is>
          <t>collecte, tri, transfert, valorisation, recyclage, élimination, gouvernance / collection, sorting, transfer, valorisation, recycling, disposal, governance</t>
        </is>
      </c>
      <c r="M4" s="2" t="n">
        <v>0.75</v>
      </c>
      <c r="N4" s="2" t="inlineStr">
        <is>
          <t>Total ~FCFA 206 billion Phase I (WB, AFD, Spanish cooperation, EIB per promoged.sn); WB credit US$175M (P161477): Component 1 US$20M governance; Component 2 US$256.1M infrastructure; Component 3 US$18.6M implementation; RBF/REP disbursement linked to reform indicators.</t>
        </is>
      </c>
      <c r="O4" s="3">
        <f>AVERAGE(G4,I4,K4,M4,P4)</f>
        <v/>
      </c>
      <c r="P4" s="2" t="n">
        <v>0.5</v>
      </c>
      <c r="Q4" s="2" t="inlineStr">
        <is>
          <t>Governance</t>
        </is>
      </c>
      <c r="R4" s="2" t="inlineStr">
        <is>
          <t>Arrêté 027932 Art. 2: COPIL missions — orient/supervise implementation; approve annual budgeted work plan (PTBA) and progress reports; review Disbursement-Linked Indicators (ILDs); examine RBF fund allocation (REP); review performance evaluations, eligible-expenditure audits and annual account audits.</t>
        </is>
      </c>
      <c r="S4" s="2" t="n">
        <v>1</v>
      </c>
      <c r="T4" s="2" t="n">
        <v>0.75</v>
      </c>
      <c r="U4" s="2" t="inlineStr">
        <is>
          <t>Art. 3: chaired by Urban Planning Minister; members include Finance, Economy, Health, Local Government, Environment, AMS, CONGAD; meets twice yearly.</t>
        </is>
      </c>
      <c r="V4" s="3">
        <f>AVERAGE(P4,T4)</f>
        <v/>
      </c>
      <c r="W4" s="2" t="inlineStr">
        <is>
          <t>Gouvernance interministérielle — financement basé sur les résultats. / Inter-ministerial governance — results-based financing.</t>
        </is>
      </c>
    </row>
    <row r="5">
      <c r="A5" s="2" t="inlineStr">
        <is>
          <t>Projet de Promotion de la Gestion intégrée et de l'Économie des Déchets solides (PROMOGED) / Solid Waste Integrated Management and Economy Promotion Project (PROMOGED)</t>
        </is>
      </c>
      <c r="B5" s="2" t="inlineStr">
        <is>
          <t>https://www.urbanisme.gouv.sn/actualites/r%C3%A9union-du-comit%C3%A9-de-pilotage-du-promoged</t>
        </is>
      </c>
      <c r="C5" s="2" t="n">
        <v>2021</v>
      </c>
      <c r="D5" s="2" t="inlineStr">
        <is>
          <t>Projet national (Banque mondiale P161477, AFD, BEI, coopération espagnole) pour renforcer la gouvernance des déchets solides et moderniser les services de collecte, tri, transfert, traitement et élimination dans les agglomérations sélectionnées — développer les filières de valorisation (dont plastiques ~9 % du flux à Mbeubeuss), réhabiliter les décharges (Mbeubeuss, Mbao) et instaurer des PPP et financement basé sur les résultats (REP). Cadre juridique : Arrêté 027932/2020 (JO 7392 du 16/01/2021). / National project (World Bank P161477, AFD, EIB, Spanish cooperation) to strengthen solid-waste governance and modernise collection, sorting, transfer, treatment and disposal services in selected agglomerations — develop valorisation value chains (including plastics ~9% of Mbeubeuss stream), rehabilitate dumpsites (Mbeubeuss, Mbao) and establish PPPs and results-based financing (RBF). Legal framework: Order 027932/2020 (Official Gazette 7392 of 16/01/2021).</t>
        </is>
      </c>
      <c r="E5" s="2" t="n">
        <v>0.75</v>
      </c>
      <c r="F5" s="2" t="inlineStr">
        <is>
          <t>PDO (WB P161477): 'strengthen the governance of solid waste management in Senegal and improve solid waste management services in selected municipalities' / 'strengthen SWM governance and improve SWM services in selected municipalities'; Phase I: 350 infrastructures, 15 landfills rehabilitated, 7 regions / 148 communes (promoged.sn); WB indicators: 10 SW collection/transfer facilities; sanitary landfills operational.</t>
        </is>
      </c>
      <c r="G5" s="2" t="n">
        <v>0.5</v>
      </c>
      <c r="H5" s="2" t="inlineStr">
        <is>
          <t>Programme/projet national de développement financé par bailleurs (≠1.0 loi). Arrêté ministériel n° 027932/2020 crée le comité de pilotage (≠1.0); instrument de gouvernance projet. / National development programme/project financed by donors (≠1.0 law). Ministerial Order No. 027932/2020 creates steering committee (≠1.0); project governance instrument.</t>
        </is>
      </c>
      <c r="I5" s="2" t="n">
        <v>1</v>
      </c>
      <c r="J5" s="2" t="inlineStr">
        <is>
          <t>hygiène urbaine, gestion des déchets solides, collectivités territoriales, secteur privé, environnement, économie circulaire, agriculture (compost) / urban hygiene, solid waste management, local government, private sector, environment, circular economy, agriculture (compost)</t>
        </is>
      </c>
      <c r="K5" s="2" t="n">
        <v>0.75</v>
      </c>
      <c r="L5" s="2" t="inlineStr">
        <is>
          <t>collecte, tri, transfert, valorisation, recyclage, élimination, gouvernance / collection, sorting, transfer, valorisation, recycling, disposal, governance</t>
        </is>
      </c>
      <c r="M5" s="2" t="n">
        <v>0.75</v>
      </c>
      <c r="N5" s="2" t="inlineStr">
        <is>
          <t>Total ~FCFA 206 billion Phase I (WB, AFD, Spanish cooperation, EIB per promoged.sn); WB credit US$175M (P161477): Component 1 US$20M governance; Component 2 US$256.1M infrastructure; Component 3 US$18.6M implementation; RBF/REP disbursement linked to reform indicators.</t>
        </is>
      </c>
      <c r="O5" s="3">
        <f>AVERAGE(G5,I5,K5,M5,P5)</f>
        <v/>
      </c>
      <c r="P5" s="2" t="n">
        <v>0.5</v>
      </c>
      <c r="Q5" s="2" t="inlineStr">
        <is>
          <t>Governance</t>
        </is>
      </c>
      <c r="R5" s="2" t="inlineStr">
        <is>
          <t>Arrêté 027932 Arts. 4–6: Technical Committee assists COPIL; examines strategic studies on 'développement du secteur des déchets solides ménagers' / 'household solid-waste sector development'; chaired by UCG Coordinator with representatives from Finance, Interior, Economy, Health, Local Government, Environment, MULHP.</t>
        </is>
      </c>
      <c r="S5" s="2" t="n">
        <v>1</v>
      </c>
      <c r="T5" s="2" t="n">
        <v>0.75</v>
      </c>
      <c r="U5" s="2" t="inlineStr">
        <is>
          <t>Secretariat by Project Director; reports actions to COPIL.</t>
        </is>
      </c>
      <c r="V5" s="3">
        <f>AVERAGE(P5,T5)</f>
        <v/>
      </c>
      <c r="W5" s="2" t="inlineStr">
        <is>
          <t>Comité technique — planification sectorielle déchets ménagers. / Technical committee — household waste sector planning.</t>
        </is>
      </c>
    </row>
    <row r="6">
      <c r="A6" s="2" t="inlineStr">
        <is>
          <t>Projet de Promotion de la Gestion intégrée et de l'Économie des Déchets solides (PROMOGED) / Solid Waste Integrated Management and Economy Promotion Project (PROMOGED)</t>
        </is>
      </c>
      <c r="B6" s="2" t="inlineStr">
        <is>
          <t>https://www.urbanisme.gouv.sn/actualites/r%C3%A9union-du-comit%C3%A9-de-pilotage-du-promoged</t>
        </is>
      </c>
      <c r="C6" s="2" t="n">
        <v>2021</v>
      </c>
      <c r="D6" s="2" t="inlineStr">
        <is>
          <t>Projet national (Banque mondiale P161477, AFD, BEI, coopération espagnole) pour renforcer la gouvernance des déchets solides et moderniser les services de collecte, tri, transfert, traitement et élimination dans les agglomérations sélectionnées — développer les filières de valorisation (dont plastiques ~9 % du flux à Mbeubeuss), réhabiliter les décharges (Mbeubeuss, Mbao) et instaurer des PPP et financement basé sur les résultats (REP). Cadre juridique : Arrêté 027932/2020 (JO 7392 du 16/01/2021). / National project (World Bank P161477, AFD, EIB, Spanish cooperation) to strengthen solid-waste governance and modernise collection, sorting, transfer, treatment and disposal services in selected agglomerations — develop valorisation value chains (including plastics ~9% of Mbeubeuss stream), rehabilitate dumpsites (Mbeubeuss, Mbao) and establish PPPs and results-based financing (RBF). Legal framework: Order 027932/2020 (Official Gazette 7392 of 16/01/2021).</t>
        </is>
      </c>
      <c r="E6" s="2" t="n">
        <v>0.75</v>
      </c>
      <c r="F6" s="2" t="inlineStr">
        <is>
          <t>PDO (WB P161477): 'strengthen the governance of solid waste management in Senegal and improve solid waste management services in selected municipalities' / 'strengthen SWM governance and improve SWM services in selected municipalities'; Phase I: 350 infrastructures, 15 landfills rehabilitated, 7 regions / 148 communes (promoged.sn); WB indicators: 10 SW collection/transfer facilities; sanitary landfills operational.</t>
        </is>
      </c>
      <c r="G6" s="2" t="n">
        <v>0.5</v>
      </c>
      <c r="H6" s="2" t="inlineStr">
        <is>
          <t>Programme/projet national de développement financé par bailleurs (≠1.0 loi). Arrêté ministériel n° 027932/2020 crée le comité de pilotage (≠1.0); instrument de gouvernance projet. / National development programme/project financed by donors (≠1.0 law). Ministerial Order No. 027932/2020 creates steering committee (≠1.0); project governance instrument.</t>
        </is>
      </c>
      <c r="I6" s="2" t="n">
        <v>1</v>
      </c>
      <c r="J6" s="2" t="inlineStr">
        <is>
          <t>hygiène urbaine, gestion des déchets solides, collectivités territoriales, secteur privé, environnement, économie circulaire, agriculture (compost) / urban hygiene, solid waste management, local government, private sector, environment, circular economy, agriculture (compost)</t>
        </is>
      </c>
      <c r="K6" s="2" t="n">
        <v>0.75</v>
      </c>
      <c r="L6" s="2" t="inlineStr">
        <is>
          <t>collecte, tri, transfert, valorisation, recyclage, élimination, gouvernance / collection, sorting, transfer, valorisation, recycling, disposal, governance</t>
        </is>
      </c>
      <c r="M6" s="2" t="n">
        <v>0.75</v>
      </c>
      <c r="N6" s="2" t="inlineStr">
        <is>
          <t>Total ~FCFA 206 billion Phase I (WB, AFD, Spanish cooperation, EIB per promoged.sn); WB credit US$175M (P161477): Component 1 US$20M governance; Component 2 US$256.1M infrastructure; Component 3 US$18.6M implementation; RBF/REP disbursement linked to reform indicators.</t>
        </is>
      </c>
      <c r="O6" s="3">
        <f>AVERAGE(G6,I6,K6,M6,P6)</f>
        <v/>
      </c>
      <c r="P6" s="2" t="n">
        <v>0.5</v>
      </c>
      <c r="Q6" s="2" t="inlineStr">
        <is>
          <t>Governance</t>
        </is>
      </c>
      <c r="R6" s="2" t="inlineStr">
        <is>
          <t>Arrêté 027932 Art. 7: four thematic technical groups on institutional aspects, financing mechanisms, 'Partenariat public privé (PPP)' / 'public-private partnership (PPP)' and technical/environmental/social aspects; composition set by Technical Committee decision.</t>
        </is>
      </c>
      <c r="S6" s="2" t="n">
        <v>1</v>
      </c>
      <c r="T6" s="2" t="n">
        <v>0.5</v>
      </c>
      <c r="U6" s="2" t="inlineStr">
        <is>
          <t>WB Component 1: regulatory/institutional reform, PPP framework, inter-municipal coordination for SWM.</t>
        </is>
      </c>
      <c r="V6" s="3">
        <f>AVERAGE(P6,T6)</f>
        <v/>
      </c>
      <c r="W6" s="2" t="inlineStr">
        <is>
          <t>Groupes thématiques PPP/financement — cadre pour secteur privé. / PPP/financing thematic groups — framework for private sector.</t>
        </is>
      </c>
    </row>
    <row r="7">
      <c r="A7" s="2" t="inlineStr">
        <is>
          <t>Projet de Promotion de la Gestion intégrée et de l'Économie des Déchets solides (PROMOGED) / Solid Waste Integrated Management and Economy Promotion Project (PROMOGED)</t>
        </is>
      </c>
      <c r="B7" s="2" t="inlineStr">
        <is>
          <t>https://www.urbanisme.gouv.sn/actualites/r%C3%A9union-du-comit%C3%A9-de-pilotage-du-promoged</t>
        </is>
      </c>
      <c r="C7" s="2" t="n">
        <v>2021</v>
      </c>
      <c r="D7" s="2" t="inlineStr">
        <is>
          <t>Projet national (Banque mondiale P161477, AFD, BEI, coopération espagnole) pour renforcer la gouvernance des déchets solides et moderniser les services de collecte, tri, transfert, traitement et élimination dans les agglomérations sélectionnées — développer les filières de valorisation (dont plastiques ~9 % du flux à Mbeubeuss), réhabiliter les décharges (Mbeubeuss, Mbao) et instaurer des PPP et financement basé sur les résultats (REP). Cadre juridique : Arrêté 027932/2020 (JO 7392 du 16/01/2021). / National project (World Bank P161477, AFD, EIB, Spanish cooperation) to strengthen solid-waste governance and modernise collection, sorting, transfer, treatment and disposal services in selected agglomerations — develop valorisation value chains (including plastics ~9% of Mbeubeuss stream), rehabilitate dumpsites (Mbeubeuss, Mbao) and establish PPPs and results-based financing (RBF). Legal framework: Order 027932/2020 (Official Gazette 7392 of 16/01/2021).</t>
        </is>
      </c>
      <c r="E7" s="2" t="n">
        <v>0.75</v>
      </c>
      <c r="F7" s="2" t="inlineStr">
        <is>
          <t>PDO (WB P161477): 'strengthen the governance of solid waste management in Senegal and improve solid waste management services in selected municipalities' / 'strengthen SWM governance and improve SWM services in selected municipalities'; Phase I: 350 infrastructures, 15 landfills rehabilitated, 7 regions / 148 communes (promoged.sn); WB indicators: 10 SW collection/transfer facilities; sanitary landfills operational.</t>
        </is>
      </c>
      <c r="G7" s="2" t="n">
        <v>0.5</v>
      </c>
      <c r="H7" s="2" t="inlineStr">
        <is>
          <t>Programme/projet national de développement financé par bailleurs (≠1.0 loi). Arrêté ministériel n° 027932/2020 crée le comité de pilotage (≠1.0); instrument de gouvernance projet. / National development programme/project financed by donors (≠1.0 law). Ministerial Order No. 027932/2020 creates steering committee (≠1.0); project governance instrument.</t>
        </is>
      </c>
      <c r="I7" s="2" t="n">
        <v>1</v>
      </c>
      <c r="J7" s="2" t="inlineStr">
        <is>
          <t>hygiène urbaine, gestion des déchets solides, collectivités territoriales, secteur privé, environnement, économie circulaire, agriculture (compost) / urban hygiene, solid waste management, local government, private sector, environment, circular economy, agriculture (compost)</t>
        </is>
      </c>
      <c r="K7" s="2" t="n">
        <v>0.75</v>
      </c>
      <c r="L7" s="2" t="inlineStr">
        <is>
          <t>collecte, tri, transfert, valorisation, recyclage, élimination, gouvernance / collection, sorting, transfer, valorisation, recycling, disposal, governance</t>
        </is>
      </c>
      <c r="M7" s="2" t="n">
        <v>0.75</v>
      </c>
      <c r="N7" s="2" t="inlineStr">
        <is>
          <t>Total ~FCFA 206 billion Phase I (WB, AFD, Spanish cooperation, EIB per promoged.sn); WB credit US$175M (P161477): Component 1 US$20M governance; Component 2 US$256.1M infrastructure; Component 3 US$18.6M implementation; RBF/REP disbursement linked to reform indicators.</t>
        </is>
      </c>
      <c r="O7" s="3">
        <f>AVERAGE(G7,I7,K7,M7,P7)</f>
        <v/>
      </c>
      <c r="P7" s="2" t="n">
        <v>0.5</v>
      </c>
      <c r="Q7" s="2" t="inlineStr">
        <is>
          <t>Governance</t>
        </is>
      </c>
      <c r="R7" s="2" t="inlineStr">
        <is>
          <t>WB Component 1 (US$20M): strengthen sector governance and institutional capacity — regulatory/institutional framework reform, financing mechanisms, PPP framework, inter-municipal SWM coordination; RBF disbursed on achievement of reform indicators (PBCs).</t>
        </is>
      </c>
      <c r="S7" s="2" t="n">
        <v>1</v>
      </c>
      <c r="T7" s="2" t="n">
        <v>0.75</v>
      </c>
      <c r="U7" s="2" t="inlineStr">
        <is>
          <t>WB indicator: inter-municipal SWM coordination framework improved; 10% of annual O&amp;M budget identified in inter-municipal plans spent.</t>
        </is>
      </c>
      <c r="V7" s="3">
        <f>AVERAGE(P7,T7)</f>
        <v/>
      </c>
      <c r="W7" s="2" t="inlineStr">
        <is>
          <t>Composante 1 — réforme institutionnelle et REP. / Component 1 — institutional reform and RBF.</t>
        </is>
      </c>
    </row>
    <row r="8">
      <c r="A8" s="2" t="inlineStr">
        <is>
          <t>Projet de Promotion de la Gestion intégrée et de l'Économie des Déchets solides (PROMOGED) / Solid Waste Integrated Management and Economy Promotion Project (PROMOGED)</t>
        </is>
      </c>
      <c r="B8" s="2" t="inlineStr">
        <is>
          <t>https://www.urbanisme.gouv.sn/actualites/r%C3%A9union-du-comit%C3%A9-de-pilotage-du-promoged</t>
        </is>
      </c>
      <c r="C8" s="2" t="n">
        <v>2021</v>
      </c>
      <c r="D8" s="2" t="inlineStr">
        <is>
          <t>Projet national (Banque mondiale P161477, AFD, BEI, coopération espagnole) pour renforcer la gouvernance des déchets solides et moderniser les services de collecte, tri, transfert, traitement et élimination dans les agglomérations sélectionnées — développer les filières de valorisation (dont plastiques ~9 % du flux à Mbeubeuss), réhabiliter les décharges (Mbeubeuss, Mbao) et instaurer des PPP et financement basé sur les résultats (REP). Cadre juridique : Arrêté 027932/2020 (JO 7392 du 16/01/2021). / National project (World Bank P161477, AFD, EIB, Spanish cooperation) to strengthen solid-waste governance and modernise collection, sorting, transfer, treatment and disposal services in selected agglomerations — develop valorisation value chains (including plastics ~9% of Mbeubeuss stream), rehabilitate dumpsites (Mbeubeuss, Mbao) and establish PPPs and results-based financing (RBF). Legal framework: Order 027932/2020 (Official Gazette 7392 of 16/01/2021).</t>
        </is>
      </c>
      <c r="E8" s="2" t="n">
        <v>0.75</v>
      </c>
      <c r="F8" s="2" t="inlineStr">
        <is>
          <t>PDO (WB P161477): 'strengthen the governance of solid waste management in Senegal and improve solid waste management services in selected municipalities' / 'strengthen SWM governance and improve SWM services in selected municipalities'; Phase I: 350 infrastructures, 15 landfills rehabilitated, 7 regions / 148 communes (promoged.sn); WB indicators: 10 SW collection/transfer facilities; sanitary landfills operational.</t>
        </is>
      </c>
      <c r="G8" s="2" t="n">
        <v>0.5</v>
      </c>
      <c r="H8" s="2" t="inlineStr">
        <is>
          <t>Programme/projet national de développement financé par bailleurs (≠1.0 loi). Arrêté ministériel n° 027932/2020 crée le comité de pilotage (≠1.0); instrument de gouvernance projet. / National development programme/project financed by donors (≠1.0 law). Ministerial Order No. 027932/2020 creates steering committee (≠1.0); project governance instrument.</t>
        </is>
      </c>
      <c r="I8" s="2" t="n">
        <v>1</v>
      </c>
      <c r="J8" s="2" t="inlineStr">
        <is>
          <t>hygiène urbaine, gestion des déchets solides, collectivités territoriales, secteur privé, environnement, économie circulaire, agriculture (compost) / urban hygiene, solid waste management, local government, private sector, environment, circular economy, agriculture (compost)</t>
        </is>
      </c>
      <c r="K8" s="2" t="n">
        <v>0.75</v>
      </c>
      <c r="L8" s="2" t="inlineStr">
        <is>
          <t>collecte, tri, transfert, valorisation, recyclage, élimination, gouvernance / collection, sorting, transfer, valorisation, recycling, disposal, governance</t>
        </is>
      </c>
      <c r="M8" s="2" t="n">
        <v>0.75</v>
      </c>
      <c r="N8" s="2" t="inlineStr">
        <is>
          <t>Total ~FCFA 206 billion Phase I (WB, AFD, Spanish cooperation, EIB per promoged.sn); WB credit US$175M (P161477): Component 1 US$20M governance; Component 2 US$256.1M infrastructure; Component 3 US$18.6M implementation; RBF/REP disbursement linked to reform indicators.</t>
        </is>
      </c>
      <c r="O8" s="3">
        <f>AVERAGE(G8,I8,K8,M8,P8)</f>
        <v/>
      </c>
      <c r="P8" s="2" t="n">
        <v>0.75</v>
      </c>
      <c r="Q8" s="2" t="inlineStr">
        <is>
          <t>Collection</t>
        </is>
      </c>
      <c r="R8" s="2" t="inlineStr">
        <is>
          <t>WB Component 2 (US$256.1M): improve solid-waste infrastructure and services in Greater Dakar and secondary poles (Thiès/Mbour/Tivaouane; Saint-Louis/Matam; Ziguinchor/Kolda/Sédhiou) — collection points, standardized collection, sorting/transfer centres, collection and marketing centres, sanitary landfills.</t>
        </is>
      </c>
      <c r="S8" s="2" t="n">
        <v>1</v>
      </c>
      <c r="T8" s="2" t="n">
        <v>0.75</v>
      </c>
      <c r="U8" s="2" t="inlineStr">
        <is>
          <t>WB targets: 10 collection/transfer facilities; sanitary landfills constructed and operational; Phase I: ~350 infrastructures across 148 communes (promoged.sn).</t>
        </is>
      </c>
      <c r="V8" s="3">
        <f>AVERAGE(P8,T8)</f>
        <v/>
      </c>
      <c r="W8" s="2" t="inlineStr">
        <is>
          <t>Infrastructures collecte/tri/transfert — chaîne complète déchets solides incluant plastiques. / Collection/sorting/transfer infrastructure — full solid-waste chain including plastics.</t>
        </is>
      </c>
    </row>
    <row r="9">
      <c r="A9" s="2" t="inlineStr">
        <is>
          <t>Projet de Promotion de la Gestion intégrée et de l'Économie des Déchets solides (PROMOGED) / Solid Waste Integrated Management and Economy Promotion Project (PROMOGED)</t>
        </is>
      </c>
      <c r="B9" s="2" t="inlineStr">
        <is>
          <t>https://www.urbanisme.gouv.sn/actualites/r%C3%A9union-du-comit%C3%A9-de-pilotage-du-promoged</t>
        </is>
      </c>
      <c r="C9" s="2" t="n">
        <v>2021</v>
      </c>
      <c r="D9" s="2" t="inlineStr">
        <is>
          <t>Projet national (Banque mondiale P161477, AFD, BEI, coopération espagnole) pour renforcer la gouvernance des déchets solides et moderniser les services de collecte, tri, transfert, traitement et élimination dans les agglomérations sélectionnées — développer les filières de valorisation (dont plastiques ~9 % du flux à Mbeubeuss), réhabiliter les décharges (Mbeubeuss, Mbao) et instaurer des PPP et financement basé sur les résultats (REP). Cadre juridique : Arrêté 027932/2020 (JO 7392 du 16/01/2021). / National project (World Bank P161477, AFD, EIB, Spanish cooperation) to strengthen solid-waste governance and modernise collection, sorting, transfer, treatment and disposal services in selected agglomerations — develop valorisation value chains (including plastics ~9% of Mbeubeuss stream), rehabilitate dumpsites (Mbeubeuss, Mbao) and establish PPPs and results-based financing (RBF). Legal framework: Order 027932/2020 (Official Gazette 7392 of 16/01/2021).</t>
        </is>
      </c>
      <c r="E9" s="2" t="n">
        <v>0.75</v>
      </c>
      <c r="F9" s="2" t="inlineStr">
        <is>
          <t>PDO (WB P161477): 'strengthen the governance of solid waste management in Senegal and improve solid waste management services in selected municipalities' / 'strengthen SWM governance and improve SWM services in selected municipalities'; Phase I: 350 infrastructures, 15 landfills rehabilitated, 7 regions / 148 communes (promoged.sn); WB indicators: 10 SW collection/transfer facilities; sanitary landfills operational.</t>
        </is>
      </c>
      <c r="G9" s="2" t="n">
        <v>0.5</v>
      </c>
      <c r="H9" s="2" t="inlineStr">
        <is>
          <t>Programme/projet national de développement financé par bailleurs (≠1.0 loi). Arrêté ministériel n° 027932/2020 crée le comité de pilotage (≠1.0); instrument de gouvernance projet. / National development programme/project financed by donors (≠1.0 law). Ministerial Order No. 027932/2020 creates steering committee (≠1.0); project governance instrument.</t>
        </is>
      </c>
      <c r="I9" s="2" t="n">
        <v>1</v>
      </c>
      <c r="J9" s="2" t="inlineStr">
        <is>
          <t>hygiène urbaine, gestion des déchets solides, collectivités territoriales, secteur privé, environnement, économie circulaire, agriculture (compost) / urban hygiene, solid waste management, local government, private sector, environment, circular economy, agriculture (compost)</t>
        </is>
      </c>
      <c r="K9" s="2" t="n">
        <v>0.75</v>
      </c>
      <c r="L9" s="2" t="inlineStr">
        <is>
          <t>collecte, tri, transfert, valorisation, recyclage, élimination, gouvernance / collection, sorting, transfer, valorisation, recycling, disposal, governance</t>
        </is>
      </c>
      <c r="M9" s="2" t="n">
        <v>0.75</v>
      </c>
      <c r="N9" s="2" t="inlineStr">
        <is>
          <t>Total ~FCFA 206 billion Phase I (WB, AFD, Spanish cooperation, EIB per promoged.sn); WB credit US$175M (P161477): Component 1 US$20M governance; Component 2 US$256.1M infrastructure; Component 3 US$18.6M implementation; RBF/REP disbursement linked to reform indicators.</t>
        </is>
      </c>
      <c r="O9" s="3">
        <f>AVERAGE(G9,I9,K9,M9,P9)</f>
        <v/>
      </c>
      <c r="P9" s="2" t="n">
        <v>0.75</v>
      </c>
      <c r="Q9" s="2" t="inlineStr">
        <is>
          <t>Valorisation</t>
        </is>
      </c>
      <c r="R9" s="2" t="inlineStr">
        <is>
          <t>PROMOGED Component 2: integrated waste management along value chain (pre-collection, collection, recycling, transfer, treatment, disposal); Collection and Marketing Centres (CCV) and Integrated Waste Recovery Centres for sorted materials.</t>
        </is>
      </c>
      <c r="S9" s="2" t="n">
        <v>1</v>
      </c>
      <c r="T9" s="2" t="n">
        <v>0.5</v>
      </c>
      <c r="U9" s="2" t="inlineStr">
        <is>
          <t>promoged.sn: 4 CCV per pole; sorting enables recovery channels; objective to make waste use profitable.</t>
        </is>
      </c>
      <c r="V9" s="3">
        <f>AVERAGE(P9,T9)</f>
        <v/>
      </c>
      <c r="W9" s="2" t="inlineStr">
        <is>
          <t>Filières de valorisation — pertinence directe pour déchets plastiques triés. / Valorisation value chains — direct relevance for sorted plastic waste.</t>
        </is>
      </c>
    </row>
    <row r="10">
      <c r="A10" s="2" t="inlineStr">
        <is>
          <t>Projet de Promotion de la Gestion intégrée et de l'Économie des Déchets solides (PROMOGED) / Solid Waste Integrated Management and Economy Promotion Project (PROMOGED)</t>
        </is>
      </c>
      <c r="B10" s="2" t="inlineStr">
        <is>
          <t>https://www.urbanisme.gouv.sn/actualites/r%C3%A9union-du-comit%C3%A9-de-pilotage-du-promoged</t>
        </is>
      </c>
      <c r="C10" s="2" t="n">
        <v>2021</v>
      </c>
      <c r="D10" s="2" t="inlineStr">
        <is>
          <t>Projet national (Banque mondiale P161477, AFD, BEI, coopération espagnole) pour renforcer la gouvernance des déchets solides et moderniser les services de collecte, tri, transfert, traitement et élimination dans les agglomérations sélectionnées — développer les filières de valorisation (dont plastiques ~9 % du flux à Mbeubeuss), réhabiliter les décharges (Mbeubeuss, Mbao) et instaurer des PPP et financement basé sur les résultats (REP). Cadre juridique : Arrêté 027932/2020 (JO 7392 du 16/01/2021). / National project (World Bank P161477, AFD, EIB, Spanish cooperation) to strengthen solid-waste governance and modernise collection, sorting, transfer, treatment and disposal services in selected agglomerations — develop valorisation value chains (including plastics ~9% of Mbeubeuss stream), rehabilitate dumpsites (Mbeubeuss, Mbao) and establish PPPs and results-based financing (RBF). Legal framework: Order 027932/2020 (Official Gazette 7392 of 16/01/2021).</t>
        </is>
      </c>
      <c r="E10" s="2" t="n">
        <v>0.75</v>
      </c>
      <c r="F10" s="2" t="inlineStr">
        <is>
          <t>PDO (WB P161477): 'strengthen the governance of solid waste management in Senegal and improve solid waste management services in selected municipalities' / 'strengthen SWM governance and improve SWM services in selected municipalities'; Phase I: 350 infrastructures, 15 landfills rehabilitated, 7 regions / 148 communes (promoged.sn); WB indicators: 10 SW collection/transfer facilities; sanitary landfills operational.</t>
        </is>
      </c>
      <c r="G10" s="2" t="n">
        <v>0.5</v>
      </c>
      <c r="H10" s="2" t="inlineStr">
        <is>
          <t>Programme/projet national de développement financé par bailleurs (≠1.0 loi). Arrêté ministériel n° 027932/2020 crée le comité de pilotage (≠1.0); instrument de gouvernance projet. / National development programme/project financed by donors (≠1.0 law). Ministerial Order No. 027932/2020 creates steering committee (≠1.0); project governance instrument.</t>
        </is>
      </c>
      <c r="I10" s="2" t="n">
        <v>1</v>
      </c>
      <c r="J10" s="2" t="inlineStr">
        <is>
          <t>hygiène urbaine, gestion des déchets solides, collectivités territoriales, secteur privé, environnement, économie circulaire, agriculture (compost) / urban hygiene, solid waste management, local government, private sector, environment, circular economy, agriculture (compost)</t>
        </is>
      </c>
      <c r="K10" s="2" t="n">
        <v>0.75</v>
      </c>
      <c r="L10" s="2" t="inlineStr">
        <is>
          <t>collecte, tri, transfert, valorisation, recyclage, élimination, gouvernance / collection, sorting, transfer, valorisation, recycling, disposal, governance</t>
        </is>
      </c>
      <c r="M10" s="2" t="n">
        <v>0.75</v>
      </c>
      <c r="N10" s="2" t="inlineStr">
        <is>
          <t>Total ~FCFA 206 billion Phase I (WB, AFD, Spanish cooperation, EIB per promoged.sn); WB credit US$175M (P161477): Component 1 US$20M governance; Component 2 US$256.1M infrastructure; Component 3 US$18.6M implementation; RBF/REP disbursement linked to reform indicators.</t>
        </is>
      </c>
      <c r="O10" s="3">
        <f>AVERAGE(G10,I10,K10,M10,P10)</f>
        <v/>
      </c>
      <c r="P10" s="2" t="n">
        <v>0.75</v>
      </c>
      <c r="Q10" s="2" t="inlineStr">
        <is>
          <t>Disposal</t>
        </is>
      </c>
      <c r="R10" s="2" t="inlineStr">
        <is>
          <t>Mbeubeuss/Mbao rehabilitation (Component 2): Sorting and Transfer Centre (CTT) and composting platform; gradual dumpsite resorption; sorted products to recovery channels, sort refusals to landfill.</t>
        </is>
      </c>
      <c r="S10" s="2" t="n">
        <v>1</v>
      </c>
      <c r="T10" s="2" t="n">
        <v>0.5</v>
      </c>
      <c r="U10" s="2" t="inlineStr">
        <is>
          <t>ESIA: waste stream ~9% plastic at Mbeubeuss; existing plastic-press activities; 15 landfills to be rehabilitated Phase I.</t>
        </is>
      </c>
      <c r="V10" s="3">
        <f>AVERAGE(P10,T10)</f>
        <v/>
      </c>
      <c r="W10" s="2" t="inlineStr">
        <is>
          <t>Réhabilitation Mbeubeuss — tri des plastiques et autres fractions avant enfouissement. / Mbeubeuss rehabilitation — sorting plastics and other fractions before landfilling.</t>
        </is>
      </c>
    </row>
    <row r="11">
      <c r="A11" s="2" t="inlineStr">
        <is>
          <t>Projet de Promotion de la Gestion intégrée et de l'Économie des Déchets solides (PROMOGED) / Solid Waste Integrated Management and Economy Promotion Project (PROMOGED)</t>
        </is>
      </c>
      <c r="B11" s="2" t="inlineStr">
        <is>
          <t>https://www.urbanisme.gouv.sn/actualites/r%C3%A9union-du-comit%C3%A9-de-pilotage-du-promoged</t>
        </is>
      </c>
      <c r="C11" s="2" t="n">
        <v>2021</v>
      </c>
      <c r="D11" s="2" t="inlineStr">
        <is>
          <t>Projet national (Banque mondiale P161477, AFD, BEI, coopération espagnole) pour renforcer la gouvernance des déchets solides et moderniser les services de collecte, tri, transfert, traitement et élimination dans les agglomérations sélectionnées — développer les filières de valorisation (dont plastiques ~9 % du flux à Mbeubeuss), réhabiliter les décharges (Mbeubeuss, Mbao) et instaurer des PPP et financement basé sur les résultats (REP). Cadre juridique : Arrêté 027932/2020 (JO 7392 du 16/01/2021). / National project (World Bank P161477, AFD, EIB, Spanish cooperation) to strengthen solid-waste governance and modernise collection, sorting, transfer, treatment and disposal services in selected agglomerations — develop valorisation value chains (including plastics ~9% of Mbeubeuss stream), rehabilitate dumpsites (Mbeubeuss, Mbao) and establish PPPs and results-based financing (RBF). Legal framework: Order 027932/2020 (Official Gazette 7392 of 16/01/2021).</t>
        </is>
      </c>
      <c r="E11" s="2" t="n">
        <v>0.75</v>
      </c>
      <c r="F11" s="2" t="inlineStr">
        <is>
          <t>PDO (WB P161477): 'strengthen the governance of solid waste management in Senegal and improve solid waste management services in selected municipalities' / 'strengthen SWM governance and improve SWM services in selected municipalities'; Phase I: 350 infrastructures, 15 landfills rehabilitated, 7 regions / 148 communes (promoged.sn); WB indicators: 10 SW collection/transfer facilities; sanitary landfills operational.</t>
        </is>
      </c>
      <c r="G11" s="2" t="n">
        <v>0.5</v>
      </c>
      <c r="H11" s="2" t="inlineStr">
        <is>
          <t>Programme/projet national de développement financé par bailleurs (≠1.0 loi). Arrêté ministériel n° 027932/2020 crée le comité de pilotage (≠1.0); instrument de gouvernance projet. / National development programme/project financed by donors (≠1.0 law). Ministerial Order No. 027932/2020 creates steering committee (≠1.0); project governance instrument.</t>
        </is>
      </c>
      <c r="I11" s="2" t="n">
        <v>1</v>
      </c>
      <c r="J11" s="2" t="inlineStr">
        <is>
          <t>hygiène urbaine, gestion des déchets solides, collectivités territoriales, secteur privé, environnement, économie circulaire, agriculture (compost) / urban hygiene, solid waste management, local government, private sector, environment, circular economy, agriculture (compost)</t>
        </is>
      </c>
      <c r="K11" s="2" t="n">
        <v>0.75</v>
      </c>
      <c r="L11" s="2" t="inlineStr">
        <is>
          <t>collecte, tri, transfert, valorisation, recyclage, élimination, gouvernance / collection, sorting, transfer, valorisation, recycling, disposal, governance</t>
        </is>
      </c>
      <c r="M11" s="2" t="n">
        <v>0.75</v>
      </c>
      <c r="N11" s="2" t="inlineStr">
        <is>
          <t>Total ~FCFA 206 billion Phase I (WB, AFD, Spanish cooperation, EIB per promoged.sn); WB credit US$175M (P161477): Component 1 US$20M governance; Component 2 US$256.1M infrastructure; Component 3 US$18.6M implementation; RBF/REP disbursement linked to reform indicators.</t>
        </is>
      </c>
      <c r="O11" s="3">
        <f>AVERAGE(G11,I11,K11,M11,P11)</f>
        <v/>
      </c>
      <c r="P11" s="2" t="n">
        <v>0.5</v>
      </c>
      <c r="Q11" s="2" t="inlineStr">
        <is>
          <t>Governance</t>
        </is>
      </c>
      <c r="R11" s="2" t="inlineStr">
        <is>
          <t>Component 1 PPP reform: establish sector-specific PPP framework with guidance and standard bidding documents; clarify roles/responsibilities of actors in municipal waste management to enable private investment.</t>
        </is>
      </c>
      <c r="S11" s="2" t="n">
        <v>1</v>
      </c>
      <c r="T11" s="2" t="n">
        <v>0.5</v>
      </c>
      <c r="U11" s="2" t="inlineStr">
        <is>
          <t>Objective: create enabling environment for private sector in solid-waste sector; maximum feasible private-sector involvement.</t>
        </is>
      </c>
      <c r="V11" s="3">
        <f>AVERAGE(P11,T11)</f>
        <v/>
      </c>
      <c r="W11" s="2" t="inlineStr">
        <is>
          <t>PPP déchets solides — délégation collecte/traitement au privé. / Solid-waste PPPs — private collection/treatment delegation.</t>
        </is>
      </c>
    </row>
    <row r="12">
      <c r="A12" s="2" t="inlineStr">
        <is>
          <t>Projet de Promotion de la Gestion intégrée et de l'Économie des Déchets solides (PROMOGED) / Solid Waste Integrated Management and Economy Promotion Project (PROMOGED)</t>
        </is>
      </c>
      <c r="B12" s="2" t="inlineStr">
        <is>
          <t>https://www.urbanisme.gouv.sn/actualites/r%C3%A9union-du-comit%C3%A9-de-pilotage-du-promoged</t>
        </is>
      </c>
      <c r="C12" s="2" t="n">
        <v>2021</v>
      </c>
      <c r="D12" s="2" t="inlineStr">
        <is>
          <t>Projet national (Banque mondiale P161477, AFD, BEI, coopération espagnole) pour renforcer la gouvernance des déchets solides et moderniser les services de collecte, tri, transfert, traitement et élimination dans les agglomérations sélectionnées — développer les filières de valorisation (dont plastiques ~9 % du flux à Mbeubeuss), réhabiliter les décharges (Mbeubeuss, Mbao) et instaurer des PPP et financement basé sur les résultats (REP). Cadre juridique : Arrêté 027932/2020 (JO 7392 du 16/01/2021). / National project (World Bank P161477, AFD, EIB, Spanish cooperation) to strengthen solid-waste governance and modernise collection, sorting, transfer, treatment and disposal services in selected agglomerations — develop valorisation value chains (including plastics ~9% of Mbeubeuss stream), rehabilitate dumpsites (Mbeubeuss, Mbao) and establish PPPs and results-based financing (RBF). Legal framework: Order 027932/2020 (Official Gazette 7392 of 16/01/2021).</t>
        </is>
      </c>
      <c r="E12" s="2" t="n">
        <v>0.75</v>
      </c>
      <c r="F12" s="2" t="inlineStr">
        <is>
          <t>PDO (WB P161477): 'strengthen the governance of solid waste management in Senegal and improve solid waste management services in selected municipalities' / 'strengthen SWM governance and improve SWM services in selected municipalities'; Phase I: 350 infrastructures, 15 landfills rehabilitated, 7 regions / 148 communes (promoged.sn); WB indicators: 10 SW collection/transfer facilities; sanitary landfills operational.</t>
        </is>
      </c>
      <c r="G12" s="2" t="n">
        <v>0.5</v>
      </c>
      <c r="H12" s="2" t="inlineStr">
        <is>
          <t>Programme/projet national de développement financé par bailleurs (≠1.0 loi). Arrêté ministériel n° 027932/2020 crée le comité de pilotage (≠1.0); instrument de gouvernance projet. / National development programme/project financed by donors (≠1.0 law). Ministerial Order No. 027932/2020 creates steering committee (≠1.0); project governance instrument.</t>
        </is>
      </c>
      <c r="I12" s="2" t="n">
        <v>1</v>
      </c>
      <c r="J12" s="2" t="inlineStr">
        <is>
          <t>hygiène urbaine, gestion des déchets solides, collectivités territoriales, secteur privé, environnement, économie circulaire, agriculture (compost) / urban hygiene, solid waste management, local government, private sector, environment, circular economy, agriculture (compost)</t>
        </is>
      </c>
      <c r="K12" s="2" t="n">
        <v>0.75</v>
      </c>
      <c r="L12" s="2" t="inlineStr">
        <is>
          <t>collecte, tri, transfert, valorisation, recyclage, élimination, gouvernance / collection, sorting, transfer, valorisation, recycling, disposal, governance</t>
        </is>
      </c>
      <c r="M12" s="2" t="n">
        <v>0.75</v>
      </c>
      <c r="N12" s="2" t="inlineStr">
        <is>
          <t>Total ~FCFA 206 billion Phase I (WB, AFD, Spanish cooperation, EIB per promoged.sn); WB credit US$175M (P161477): Component 1 US$20M governance; Component 2 US$256.1M infrastructure; Component 3 US$18.6M implementation; RBF/REP disbursement linked to reform indicators.</t>
        </is>
      </c>
      <c r="O12" s="3">
        <f>AVERAGE(G12,I12,K12,M12,P12)</f>
        <v/>
      </c>
      <c r="P12" s="2" t="n">
        <v>0.5</v>
      </c>
      <c r="Q12" s="2" t="inlineStr">
        <is>
          <t>Governance</t>
        </is>
      </c>
      <c r="R12" s="2" t="inlineStr">
        <is>
          <t>WB Component 3 (US$18.6M): project implementation support — coordination, communication, monitoring and evaluation, fiduciary management; UCG provides COPIL secretariat per Arrêté 027932.</t>
        </is>
      </c>
      <c r="S12" s="2" t="n">
        <v>1</v>
      </c>
      <c r="T12" s="2" t="n">
        <v>0.75</v>
      </c>
      <c r="U12" s="2" t="inlineStr">
        <is>
          <t>WB indicator: 800 waste pickers supported (target 1,500 by 2026); M&amp;E of intermediate results indicators.</t>
        </is>
      </c>
      <c r="V12" s="3">
        <f>AVERAGE(P12,T12)</f>
        <v/>
      </c>
      <c r="W12" s="2" t="inlineStr">
        <is>
          <t>Appui à la mise en œuvre — coordination UCG/PROMOGED. / Implementation support — UCG/PROMOGED coordination.</t>
        </is>
      </c>
    </row>
    <row r="13">
      <c r="A13" s="2" t="inlineStr">
        <is>
          <t>Projet de Promotion de la Gestion intégrée et de l'Économie des Déchets solides (PROMOGED) / Solid Waste Integrated Management and Economy Promotion Project (PROMOGED)</t>
        </is>
      </c>
      <c r="B13" s="2" t="inlineStr">
        <is>
          <t>https://www.urbanisme.gouv.sn/actualites/r%C3%A9union-du-comit%C3%A9-de-pilotage-du-promoged</t>
        </is>
      </c>
      <c r="C13" s="2" t="n">
        <v>2021</v>
      </c>
      <c r="D13" s="2" t="inlineStr">
        <is>
          <t>Projet national (Banque mondiale P161477, AFD, BEI, coopération espagnole) pour renforcer la gouvernance des déchets solides et moderniser les services de collecte, tri, transfert, traitement et élimination dans les agglomérations sélectionnées — développer les filières de valorisation (dont plastiques ~9 % du flux à Mbeubeuss), réhabiliter les décharges (Mbeubeuss, Mbao) et instaurer des PPP et financement basé sur les résultats (REP). Cadre juridique : Arrêté 027932/2020 (JO 7392 du 16/01/2021). / National project (World Bank P161477, AFD, EIB, Spanish cooperation) to strengthen solid-waste governance and modernise collection, sorting, transfer, treatment and disposal services in selected agglomerations — develop valorisation value chains (including plastics ~9% of Mbeubeuss stream), rehabilitate dumpsites (Mbeubeuss, Mbao) and establish PPPs and results-based financing (RBF). Legal framework: Order 027932/2020 (Official Gazette 7392 of 16/01/2021).</t>
        </is>
      </c>
      <c r="E13" s="2" t="n">
        <v>0.75</v>
      </c>
      <c r="F13" s="2" t="inlineStr">
        <is>
          <t>PDO (WB P161477): 'strengthen the governance of solid waste management in Senegal and improve solid waste management services in selected municipalities' / 'strengthen SWM governance and improve SWM services in selected municipalities'; Phase I: 350 infrastructures, 15 landfills rehabilitated, 7 regions / 148 communes (promoged.sn); WB indicators: 10 SW collection/transfer facilities; sanitary landfills operational.</t>
        </is>
      </c>
      <c r="G13" s="2" t="n">
        <v>0.5</v>
      </c>
      <c r="H13" s="2" t="inlineStr">
        <is>
          <t>Programme/projet national de développement financé par bailleurs (≠1.0 loi). Arrêté ministériel n° 027932/2020 crée le comité de pilotage (≠1.0); instrument de gouvernance projet. / National development programme/project financed by donors (≠1.0 law). Ministerial Order No. 027932/2020 creates steering committee (≠1.0); project governance instrument.</t>
        </is>
      </c>
      <c r="I13" s="2" t="n">
        <v>1</v>
      </c>
      <c r="J13" s="2" t="inlineStr">
        <is>
          <t>hygiène urbaine, gestion des déchets solides, collectivités territoriales, secteur privé, environnement, économie circulaire, agriculture (compost) / urban hygiene, solid waste management, local government, private sector, environment, circular economy, agriculture (compost)</t>
        </is>
      </c>
      <c r="K13" s="2" t="n">
        <v>0.75</v>
      </c>
      <c r="L13" s="2" t="inlineStr">
        <is>
          <t>collecte, tri, transfert, valorisation, recyclage, élimination, gouvernance / collection, sorting, transfer, valorisation, recycling, disposal, governance</t>
        </is>
      </c>
      <c r="M13" s="2" t="n">
        <v>0.75</v>
      </c>
      <c r="N13" s="2" t="inlineStr">
        <is>
          <t>Total ~FCFA 206 billion Phase I (WB, AFD, Spanish cooperation, EIB per promoged.sn); WB credit US$175M (P161477): Component 1 US$20M governance; Component 2 US$256.1M infrastructure; Component 3 US$18.6M implementation; RBF/REP disbursement linked to reform indicators.</t>
        </is>
      </c>
      <c r="O13" s="3">
        <f>AVERAGE(G13,I13,K13,M13,P13)</f>
        <v/>
      </c>
      <c r="P13" s="2" t="n">
        <v>0.5</v>
      </c>
      <c r="Q13" s="2" t="inlineStr">
        <is>
          <t>Collection</t>
        </is>
      </c>
      <c r="R13" s="2" t="inlineStr">
        <is>
          <t>Social inclusion: support for waste pickers (récupérateurs) — WB target 800 (2024) rising to 1,500 (2026); Mbeubeuss ESIA notes pickers using plastic bags and plastic-press activities in informal recovery economy.</t>
        </is>
      </c>
      <c r="S13" s="2" t="n">
        <v>1</v>
      </c>
      <c r="T13" s="2" t="n">
        <v>0.5</v>
      </c>
      <c r="U13" s="2" t="inlineStr">
        <is>
          <t>Component 2 aims to improve socio-economic performance of sector through profitable waste use.</t>
        </is>
      </c>
      <c r="V13" s="3">
        <f>AVERAGE(P13,T13)</f>
        <v/>
      </c>
      <c r="W13" s="2" t="inlineStr">
        <is>
          <t>Inclusion des récupérateurs — lien avec économie informelle du plastique. / Waste-picker inclusion — link to informal plastic recovery economy.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2026-07-22T12:49:09Z</dcterms:created>
  <dcterms:modified xmlns:dcterms="http://purl.org/dc/terms/" xmlns:xsi="http://www.w3.org/2001/XMLSchema-instance" xsi:type="dcterms:W3CDTF">2026-07-22T12:49:09Z</dcterms:modified>
</cp:coreProperties>
</file>