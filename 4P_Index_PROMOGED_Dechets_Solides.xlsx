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Solid Waste Integrated Management and Economy Promotion Project (PROMOGED)</t>
        </is>
      </c>
      <c r="B2" s="2" t="inlineStr">
        <is>
          <t>https://www.urbanisme.gouv.sn/actualites/r%C3%A9union-du-comit%C3%A9-de-pilotage-du-promoged</t>
        </is>
      </c>
      <c r="C2" s="2" t="n">
        <v>2021</v>
      </c>
      <c r="D2" s="2" t="inlineStr">
        <is>
          <t>World Bank–supported national project to modernise municipal solid-waste collection, sorting, transfer and treatment infrastructure and develop valorisation value chains — including plastics (~9% of Mbeubeuss waste stream) — across selected Senegalese municipalities. Legal framework: Ministerial Order 027932/2020 (Official Gazette No. 7392 of 16 January 2021).</t>
        </is>
      </c>
      <c r="E2" s="2" t="n">
        <v>1</v>
      </c>
      <c r="F2" s="2" t="inlineStr">
        <is>
          <t>World Bank P161477 PDO: strengthen solid-waste governance and improve services in selected municipalities; Phase I targets: 350 infrastructures, 15 landfills rehabilitated, 7 regions / 148 communes; WB indicators: 10 collection/transfer facilities; sanitary landfills operational.</t>
        </is>
      </c>
      <c r="G2" s="2" t="n">
        <v>0.5</v>
      </c>
      <c r="H2" s="2" t="inlineStr">
        <is>
          <t>National development programme/project financed by donors (World Bank P161477, AFD, EIB). Ministerial Order 027932/2020 creates steering committee (≠1.0 law). Programme with quantifiable targets.</t>
        </is>
      </c>
      <c r="I2" s="2" t="n">
        <v>0.75</v>
      </c>
      <c r="J2" s="2" t="inlineStr">
        <is>
          <t>waste management, municipalities, industry, environment, recycling, agriculture</t>
        </is>
      </c>
      <c r="K2" s="2" t="n">
        <v>0.5</v>
      </c>
      <c r="L2" s="2" t="inlineStr">
        <is>
          <t>recycling, disposal</t>
        </is>
      </c>
      <c r="M2" s="2" t="n">
        <v>0.5</v>
      </c>
      <c r="N2" s="2" t="inlineStr">
        <is>
          <t>Total ~FCFA 206 billion Phase I; World Bank credit US$175M (P161477): Component 1 US$20M governance; Component 2 US$256.1M infrastructure; Component 3 US$18.6M implementation.</t>
        </is>
      </c>
      <c r="O2" s="3">
        <f>AVERAGE(G2,I2,K2,M2,P2)</f>
        <v/>
      </c>
      <c r="P2" s="2" t="n">
        <v>0.2</v>
      </c>
      <c r="Q2" s="2" t="inlineStr">
        <is>
          <t>Waste management</t>
        </is>
      </c>
      <c r="R2" s="2" t="inlineStr">
        <is>
          <t>Ministerial Order 027932/2020 Art. 1: creates PROMOGED steering committee (COPIL) within the Ministry of Urban Planning, Housing and Public Hygiene; published Official Gazette No. 7392 of 16 January 2021.</t>
        </is>
      </c>
      <c r="S2" s="2" t="n">
        <v>1</v>
      </c>
      <c r="T2" s="2" t="n">
        <v>0.5</v>
      </c>
      <c r="U2" s="2" t="inlineStr">
        <is>
          <t>Art. 3: chaired by Urban Planning Minister; inter-ministerial membership (+0.25 authority); Art. 2: supervises implementation and reviews disbursement-linked indicators (+0.25 monitoring).</t>
        </is>
      </c>
      <c r="V2" s="3">
        <f>AVERAGE(P2,T2)</f>
        <v/>
      </c>
      <c r="W2" s="2" t="inlineStr">
        <is>
          <t>Governance instrument for municipal solid-waste management including plastic fractions.</t>
        </is>
      </c>
    </row>
    <row r="3">
      <c r="A3" s="2" t="inlineStr">
        <is>
          <t>Solid Waste Integrated Management and Economy Promotion Project (PROMOGED)</t>
        </is>
      </c>
      <c r="B3" s="2" t="inlineStr">
        <is>
          <t>https://www.urbanisme.gouv.sn/actualites/r%C3%A9union-du-comit%C3%A9-de-pilotage-du-promoged</t>
        </is>
      </c>
      <c r="C3" s="2" t="n">
        <v>2021</v>
      </c>
      <c r="D3" s="2" t="inlineStr">
        <is>
          <t>World Bank–supported national project to modernise municipal solid-waste collection, sorting, transfer and treatment infrastructure and develop valorisation value chains — including plastics (~9% of Mbeubeuss waste stream) — across selected Senegalese municipalities. Legal framework: Ministerial Order 027932/2020 (Official Gazette No. 7392 of 16 January 2021).</t>
        </is>
      </c>
      <c r="E3" s="2" t="n">
        <v>1</v>
      </c>
      <c r="F3" s="2" t="inlineStr">
        <is>
          <t>World Bank P161477 PDO: strengthen solid-waste governance and improve services in selected municipalities; Phase I targets: 350 infrastructures, 15 landfills rehabilitated, 7 regions / 148 communes; WB indicators: 10 collection/transfer facilities; sanitary landfills operational.</t>
        </is>
      </c>
      <c r="G3" s="2" t="n">
        <v>0.5</v>
      </c>
      <c r="H3" s="2" t="inlineStr">
        <is>
          <t>National development programme/project financed by donors (World Bank P161477, AFD, EIB). Ministerial Order 027932/2020 creates steering committee (≠1.0 law). Programme with quantifiable targets.</t>
        </is>
      </c>
      <c r="I3" s="2" t="n">
        <v>0.75</v>
      </c>
      <c r="J3" s="2" t="inlineStr">
        <is>
          <t>waste management, municipalities, industry, environment, recycling, agriculture</t>
        </is>
      </c>
      <c r="K3" s="2" t="n">
        <v>0.5</v>
      </c>
      <c r="L3" s="2" t="inlineStr">
        <is>
          <t>recycling, disposal</t>
        </is>
      </c>
      <c r="M3" s="2" t="n">
        <v>0.5</v>
      </c>
      <c r="N3" s="2" t="inlineStr">
        <is>
          <t>Total ~FCFA 206 billion Phase I; World Bank credit US$175M (P161477): Component 1 US$20M governance; Component 2 US$256.1M infrastructure; Component 3 US$18.6M implementation.</t>
        </is>
      </c>
      <c r="O3" s="3">
        <f>AVERAGE(G3,I3,K3,M3,P3)</f>
        <v/>
      </c>
      <c r="P3" s="2" t="n">
        <v>0.8</v>
      </c>
      <c r="Q3" s="2" t="inlineStr">
        <is>
          <t>Waste management</t>
        </is>
      </c>
      <c r="R3" s="2" t="inlineStr">
        <is>
          <t>World Bank Component 2: construction of collection points, sorting/transfer centres, collection and marketing centres, and sanitary landfills in Greater Dakar and secondary urban poles.</t>
        </is>
      </c>
      <c r="S3" s="2" t="n">
        <v>1</v>
      </c>
      <c r="T3" s="2" t="n">
        <v>0.5</v>
      </c>
      <c r="U3" s="2" t="inlineStr">
        <is>
          <t>WB targets: 10 collection/transfer facilities; ~350 infrastructures across 148 communes (+0.25 monitoring); UCG/SONAGED designated implementing agency (+0.25 authority). No enforcement provisions in project documents.</t>
        </is>
      </c>
      <c r="V3" s="3">
        <f>AVERAGE(P3,T3)</f>
        <v/>
      </c>
      <c r="W3" s="2" t="inlineStr">
        <is>
          <t>Infrastructure for collection/sorting of municipal solid waste including plastics.</t>
        </is>
      </c>
    </row>
    <row r="4">
      <c r="A4" s="2" t="inlineStr">
        <is>
          <t>Solid Waste Integrated Management and Economy Promotion Project (PROMOGED)</t>
        </is>
      </c>
      <c r="B4" s="2" t="inlineStr">
        <is>
          <t>https://www.urbanisme.gouv.sn/actualites/r%C3%A9union-du-comit%C3%A9-de-pilotage-du-promoged</t>
        </is>
      </c>
      <c r="C4" s="2" t="n">
        <v>2021</v>
      </c>
      <c r="D4" s="2" t="inlineStr">
        <is>
          <t>World Bank–supported national project to modernise municipal solid-waste collection, sorting, transfer and treatment infrastructure and develop valorisation value chains — including plastics (~9% of Mbeubeuss waste stream) — across selected Senegalese municipalities. Legal framework: Ministerial Order 027932/2020 (Official Gazette No. 7392 of 16 January 2021).</t>
        </is>
      </c>
      <c r="E4" s="2" t="n">
        <v>1</v>
      </c>
      <c r="F4" s="2" t="inlineStr">
        <is>
          <t>World Bank P161477 PDO: strengthen solid-waste governance and improve services in selected municipalities; Phase I targets: 350 infrastructures, 15 landfills rehabilitated, 7 regions / 148 communes; WB indicators: 10 collection/transfer facilities; sanitary landfills operational.</t>
        </is>
      </c>
      <c r="G4" s="2" t="n">
        <v>0.5</v>
      </c>
      <c r="H4" s="2" t="inlineStr">
        <is>
          <t>National development programme/project financed by donors (World Bank P161477, AFD, EIB). Ministerial Order 027932/2020 creates steering committee (≠1.0 law). Programme with quantifiable targets.</t>
        </is>
      </c>
      <c r="I4" s="2" t="n">
        <v>0.75</v>
      </c>
      <c r="J4" s="2" t="inlineStr">
        <is>
          <t>waste management, municipalities, industry, environment, recycling, agriculture</t>
        </is>
      </c>
      <c r="K4" s="2" t="n">
        <v>0.5</v>
      </c>
      <c r="L4" s="2" t="inlineStr">
        <is>
          <t>recycling, disposal</t>
        </is>
      </c>
      <c r="M4" s="2" t="n">
        <v>0.5</v>
      </c>
      <c r="N4" s="2" t="inlineStr">
        <is>
          <t>Total ~FCFA 206 billion Phase I; World Bank credit US$175M (P161477): Component 1 US$20M governance; Component 2 US$256.1M infrastructure; Component 3 US$18.6M implementation.</t>
        </is>
      </c>
      <c r="O4" s="3">
        <f>AVERAGE(G4,I4,K4,M4,P4)</f>
        <v/>
      </c>
      <c r="P4" s="2" t="n">
        <v>0.8</v>
      </c>
      <c r="Q4" s="2" t="inlineStr">
        <is>
          <t>Recycling</t>
        </is>
      </c>
      <c r="R4" s="2" t="inlineStr">
        <is>
          <t>PROMOGED Component 2: Collection and Marketing Centres (CCV) and Integrated Waste Recovery Centres for sorted materials including plastics; Mbeubeuss rehabilitation with sorting before landfilling.</t>
        </is>
      </c>
      <c r="S4" s="2" t="n">
        <v>1</v>
      </c>
      <c r="T4" s="2" t="n">
        <v>0.5</v>
      </c>
      <c r="U4" s="2" t="inlineStr">
        <is>
          <t>ESIA notes ~9% plastic in Mbeubeuss stream; 4 CCV per pole planned (+0.25 monitoring via project indicators); UCG coordination (+0.25 authority). No enforcement mechanism in project text.</t>
        </is>
      </c>
      <c r="V4" s="3">
        <f>AVERAGE(P4,T4)</f>
        <v/>
      </c>
      <c r="W4" s="2" t="inlineStr">
        <is>
          <t>Most direct plastic-relevant instrument — valorisation of sorted plastic waste.</t>
        </is>
      </c>
    </row>
    <row r="5">
      <c r="A5" s="2" t="inlineStr">
        <is>
          <t>Solid Waste Integrated Management and Economy Promotion Project (PROMOGED)</t>
        </is>
      </c>
      <c r="B5" s="2" t="inlineStr">
        <is>
          <t>https://www.urbanisme.gouv.sn/actualites/r%C3%A9union-du-comit%C3%A9-de-pilotage-du-promoged</t>
        </is>
      </c>
      <c r="C5" s="2" t="n">
        <v>2021</v>
      </c>
      <c r="D5" s="2" t="inlineStr">
        <is>
          <t>World Bank–supported national project to modernise municipal solid-waste collection, sorting, transfer and treatment infrastructure and develop valorisation value chains — including plastics (~9% of Mbeubeuss waste stream) — across selected Senegalese municipalities. Legal framework: Ministerial Order 027932/2020 (Official Gazette No. 7392 of 16 January 2021).</t>
        </is>
      </c>
      <c r="E5" s="2" t="n">
        <v>1</v>
      </c>
      <c r="F5" s="2" t="inlineStr">
        <is>
          <t>World Bank P161477 PDO: strengthen solid-waste governance and improve services in selected municipalities; Phase I targets: 350 infrastructures, 15 landfills rehabilitated, 7 regions / 148 communes; WB indicators: 10 collection/transfer facilities; sanitary landfills operational.</t>
        </is>
      </c>
      <c r="G5" s="2" t="n">
        <v>0.5</v>
      </c>
      <c r="H5" s="2" t="inlineStr">
        <is>
          <t>National development programme/project financed by donors (World Bank P161477, AFD, EIB). Ministerial Order 027932/2020 creates steering committee (≠1.0 law). Programme with quantifiable targets.</t>
        </is>
      </c>
      <c r="I5" s="2" t="n">
        <v>0.75</v>
      </c>
      <c r="J5" s="2" t="inlineStr">
        <is>
          <t>waste management, municipalities, industry, environment, recycling, agriculture</t>
        </is>
      </c>
      <c r="K5" s="2" t="n">
        <v>0.5</v>
      </c>
      <c r="L5" s="2" t="inlineStr">
        <is>
          <t>recycling, disposal</t>
        </is>
      </c>
      <c r="M5" s="2" t="n">
        <v>0.5</v>
      </c>
      <c r="N5" s="2" t="inlineStr">
        <is>
          <t>Total ~FCFA 206 billion Phase I; World Bank credit US$175M (P161477): Component 1 US$20M governance; Component 2 US$256.1M infrastructure; Component 3 US$18.6M implementation.</t>
        </is>
      </c>
      <c r="O5" s="3">
        <f>AVERAGE(G5,I5,K5,M5,P5)</f>
        <v/>
      </c>
      <c r="P5" s="2" t="n">
        <v>0.2</v>
      </c>
      <c r="Q5" s="2" t="inlineStr">
        <is>
          <t>Waste management</t>
        </is>
      </c>
      <c r="R5" s="2" t="inlineStr">
        <is>
          <t>Component 1: regulatory/institutional reform and public-private partnership framework for municipal solid-waste management; inter-municipal coordination for waste services.</t>
        </is>
      </c>
      <c r="S5" s="2" t="n">
        <v>1</v>
      </c>
      <c r="T5" s="2" t="n">
        <v>0.5</v>
      </c>
      <c r="U5" s="2" t="inlineStr">
        <is>
          <t>Results-based financing disbursed on reform indicators (+0.25 monitoring); COPIL/Technical Committee designated (+0.25 authority). No fines or penalties in project framework.</t>
        </is>
      </c>
      <c r="V5" s="3">
        <f>AVERAGE(P5,T5)</f>
        <v/>
      </c>
      <c r="W5" s="2" t="inlineStr">
        <is>
          <t>Multi-level waste governance coordination applying to plastic waste streams in practice.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2026-07-23T09:57:20Z</dcterms:created>
  <dcterms:modified xmlns:dcterms="http://purl.org/dc/terms/" xmlns:xsi="http://www.w3.org/2001/XMLSchema-instance" xsi:type="dcterms:W3CDTF">2026-07-23T09:57:20Z</dcterms:modified>
</cp:coreProperties>
</file>