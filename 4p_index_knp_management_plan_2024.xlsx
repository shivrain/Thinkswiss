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4P Index Coding" sheetId="1" state="visible" r:id="rId1"/>
    <sheet name="Key Evidence &amp; Score Summary" sheetId="2" state="visible" r:id="rId2"/>
    <sheet name="Score Reference" sheetId="3" state="visible" r:id="rId3"/>
  </sheets>
  <definedNames/>
  <calcPr calcId="124519" fullCalcOnLoad="1"/>
</workbook>
</file>

<file path=xl/styles.xml><?xml version="1.0" encoding="utf-8"?>
<styleSheet xmlns="http://schemas.openxmlformats.org/spreadsheetml/2006/main">
  <numFmts count="1">
    <numFmt numFmtId="164" formatCode="0.000"/>
  </numFmts>
  <fonts count="10">
    <font>
      <name val="Calibri"/>
      <family val="2"/>
      <color theme="1"/>
      <sz val="11"/>
      <scheme val="minor"/>
    </font>
    <font>
      <b val="1"/>
      <color rgb="00FFFFFF"/>
      <sz val="13"/>
    </font>
    <font>
      <color rgb="00FFFFFF"/>
      <sz val="9"/>
    </font>
    <font>
      <b val="1"/>
      <color rgb="00FFFFFF"/>
      <sz val="10"/>
    </font>
    <font>
      <b val="1"/>
      <color rgb="001F3864"/>
      <sz val="9"/>
    </font>
    <font>
      <b val="1"/>
      <color rgb="001F4E17"/>
      <sz val="9"/>
    </font>
    <font>
      <i val="1"/>
      <color rgb="00808080"/>
      <sz val="8"/>
    </font>
    <font>
      <color rgb="00000000"/>
      <sz val="9"/>
    </font>
    <font>
      <i val="1"/>
      <color rgb="007F3F00"/>
      <sz val="9"/>
    </font>
    <font>
      <b val="1"/>
      <color rgb="00000000"/>
      <sz val="9"/>
    </font>
  </fonts>
  <fills count="12">
    <fill>
      <patternFill/>
    </fill>
    <fill>
      <patternFill patternType="gray125"/>
    </fill>
    <fill>
      <patternFill patternType="solid">
        <fgColor rgb="001F3864"/>
      </patternFill>
    </fill>
    <fill>
      <patternFill patternType="solid">
        <fgColor rgb="002E75B6"/>
      </patternFill>
    </fill>
    <fill>
      <patternFill patternType="solid">
        <fgColor rgb="0017375E"/>
      </patternFill>
    </fill>
    <fill>
      <patternFill patternType="solid">
        <fgColor rgb="00C5D9F1"/>
      </patternFill>
    </fill>
    <fill>
      <patternFill patternType="solid">
        <fgColor rgb="00C4E1C0"/>
      </patternFill>
    </fill>
    <fill>
      <patternFill patternType="solid">
        <fgColor rgb="00D9E2F3"/>
      </patternFill>
    </fill>
    <fill>
      <patternFill patternType="solid">
        <fgColor rgb="00FCE4D6"/>
      </patternFill>
    </fill>
    <fill>
      <patternFill patternType="solid">
        <fgColor rgb="00E2EFDA"/>
      </patternFill>
    </fill>
    <fill>
      <patternFill patternType="solid">
        <fgColor rgb="00D9F0FF"/>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8">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3" borderId="0" applyAlignment="1" pivotButton="0" quotePrefix="0" xfId="0">
      <alignment horizontal="center" vertical="center" wrapText="1"/>
    </xf>
    <xf numFmtId="0" fontId="3" fillId="4" borderId="0" applyAlignment="1" pivotButton="0" quotePrefix="0" xfId="0">
      <alignment horizontal="center" vertical="center" wrapText="1"/>
    </xf>
    <xf numFmtId="0" fontId="4" fillId="5" borderId="1" applyAlignment="1" pivotButton="0" quotePrefix="0" xfId="0">
      <alignment horizontal="center" vertical="top" wrapText="1"/>
    </xf>
    <xf numFmtId="0" fontId="5" fillId="6" borderId="1" applyAlignment="1" pivotButton="0" quotePrefix="0" xfId="0">
      <alignment horizontal="center" vertical="top" wrapText="1"/>
    </xf>
    <xf numFmtId="0" fontId="7" fillId="7" borderId="1" applyAlignment="1" pivotButton="0" quotePrefix="0" xfId="0">
      <alignment horizontal="left" vertical="top" wrapText="1"/>
    </xf>
    <xf numFmtId="1" fontId="7" fillId="7" borderId="1" applyAlignment="1" pivotButton="0" quotePrefix="0" xfId="0">
      <alignment horizontal="center" vertical="center" wrapText="1"/>
    </xf>
    <xf numFmtId="2" fontId="7" fillId="7" borderId="1" applyAlignment="1" pivotButton="0" quotePrefix="0" xfId="0">
      <alignment horizontal="center" vertical="center" wrapText="1"/>
    </xf>
    <xf numFmtId="2" fontId="8" fillId="8" borderId="1" pivotButton="0" quotePrefix="0" xfId="0"/>
    <xf numFmtId="2" fontId="7" fillId="9" borderId="1" applyAlignment="1" pivotButton="0" quotePrefix="0" xfId="0">
      <alignment horizontal="center" vertical="center" wrapText="1"/>
    </xf>
    <xf numFmtId="0" fontId="7" fillId="9" borderId="1" applyAlignment="1" pivotButton="0" quotePrefix="0" xfId="0">
      <alignment horizontal="left" vertical="top" wrapText="1"/>
    </xf>
    <xf numFmtId="1" fontId="7" fillId="9" borderId="1" applyAlignment="1" pivotButton="0" quotePrefix="0" xfId="0">
      <alignment horizontal="center" vertical="center" wrapText="1"/>
    </xf>
    <xf numFmtId="164" fontId="8" fillId="8" borderId="1" pivotButton="0" quotePrefix="0" xfId="0"/>
    <xf numFmtId="0" fontId="6" fillId="0" borderId="0" pivotButton="0" quotePrefix="0" xfId="0"/>
    <xf numFmtId="2" fontId="7" fillId="10" borderId="1" applyAlignment="1" pivotButton="0" quotePrefix="0" xfId="0">
      <alignment horizontal="center" vertical="center" wrapText="1"/>
    </xf>
    <xf numFmtId="0" fontId="7" fillId="10" borderId="1" applyAlignment="1" pivotButton="0" quotePrefix="0" xfId="0">
      <alignment horizontal="left" vertical="top" wrapText="1"/>
    </xf>
    <xf numFmtId="1" fontId="7" fillId="10" borderId="1" applyAlignment="1" pivotButton="0" quotePrefix="0" xfId="0">
      <alignment horizontal="center" vertical="center" wrapText="1"/>
    </xf>
    <xf numFmtId="2" fontId="7" fillId="11" borderId="1" applyAlignment="1" pivotButton="0" quotePrefix="0" xfId="0">
      <alignment horizontal="center" vertical="center" wrapText="1"/>
    </xf>
    <xf numFmtId="0" fontId="7" fillId="11" borderId="1" applyAlignment="1" pivotButton="0" quotePrefix="0" xfId="0">
      <alignment horizontal="left" vertical="top" wrapText="1"/>
    </xf>
    <xf numFmtId="1" fontId="7" fillId="11" borderId="1" applyAlignment="1" pivotButton="0" quotePrefix="0" xfId="0">
      <alignment horizontal="center" vertical="center" wrapText="1"/>
    </xf>
    <xf numFmtId="0" fontId="9" fillId="5" borderId="1" applyAlignment="1" pivotButton="0" quotePrefix="0" xfId="0">
      <alignment wrapText="1"/>
    </xf>
    <xf numFmtId="0" fontId="7" fillId="0" borderId="1" applyAlignment="1" pivotButton="0" quotePrefix="0" xfId="0">
      <alignment wrapText="1"/>
    </xf>
    <xf numFmtId="0" fontId="3" fillId="3" borderId="1" applyAlignment="1" pivotButton="0" quotePrefix="0" xfId="0">
      <alignment horizontal="center" vertical="center" wrapText="1"/>
    </xf>
    <xf numFmtId="0" fontId="9" fillId="5" borderId="1" pivotButton="0" quotePrefix="0" xfId="0"/>
    <xf numFmtId="2" fontId="7" fillId="0" borderId="1" applyAlignment="1" pivotButton="0" quotePrefix="0" xfId="0">
      <alignment horizontal="center" vertical="center" wrapText="1"/>
    </xf>
    <xf numFmtId="0" fontId="7"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8"/>
  <sheetViews>
    <sheetView workbookViewId="0">
      <pane xSplit="3" ySplit="4" topLeftCell="D5" activePane="bottomRight" state="frozen"/>
      <selection pane="topRight"/>
      <selection pane="bottomLeft"/>
      <selection pane="bottomRight" activeCell="A1" sqref="A1"/>
    </sheetView>
  </sheetViews>
  <sheetFormatPr baseColWidth="8" defaultRowHeight="15"/>
  <cols>
    <col width="30" customWidth="1" min="1" max="1"/>
    <col width="38" customWidth="1" min="2" max="2"/>
    <col width="8" customWidth="1" min="3" max="3"/>
    <col width="35" customWidth="1" min="4" max="4"/>
    <col width="8" customWidth="1" min="5" max="5"/>
    <col width="20" customWidth="1" min="6" max="6"/>
    <col width="8" customWidth="1" min="7" max="7"/>
    <col width="35" customWidth="1" min="8" max="8"/>
    <col width="9" customWidth="1" min="9" max="9"/>
    <col width="35" customWidth="1" min="10" max="10"/>
    <col width="8" customWidth="1" min="11" max="11"/>
    <col width="28" customWidth="1" min="12" max="12"/>
    <col width="8" customWidth="1" min="13" max="13"/>
    <col width="40" customWidth="1" min="14" max="14"/>
    <col width="9" customWidth="1" min="15" max="15"/>
    <col width="10" customWidth="1" min="16" max="16"/>
    <col width="18" customWidth="1" min="17" max="17"/>
    <col width="42" customWidth="1" min="18" max="18"/>
    <col width="10" customWidth="1" min="19" max="19"/>
    <col width="10" customWidth="1" min="20" max="20"/>
    <col width="42" customWidth="1" min="21" max="21"/>
    <col width="9" customWidth="1" min="22" max="22"/>
    <col width="42" customWidth="1" min="23" max="23"/>
    <col width="25" customWidth="1" min="24" max="24"/>
  </cols>
  <sheetData>
    <row r="1" ht="22" customHeight="1">
      <c r="A1" s="1" t="inlineStr">
        <is>
          <t>Plastic Pollution Policy Index (4P Index) — Coding Table</t>
        </is>
      </c>
    </row>
    <row r="2" ht="16" customHeight="1">
      <c r="A2" s="2" t="inlineStr">
        <is>
          <t>Policy: Management Plan of Khaptad National Park and its Buffer Zone (FY 2081/82–2085/86 BS / 2024/25–2028/29)  |  Country: Nepal  |  Year: 2024  |  Source: https://giwmscdntwo.gov.np/media/pdf_upload/Khaptad%20NP%20Management%20Plan%20(2082-2086)_vshs1ki.pdf</t>
        </is>
      </c>
    </row>
    <row r="3" ht="18" customHeight="1">
      <c r="A3" s="3" t="inlineStr">
        <is>
          <t>SECTION A — Policy-Level Fields  (repeated identically across all rows)</t>
        </is>
      </c>
      <c r="P3" s="4" t="inlineStr">
        <is>
          <t>SECTION B — Instrument-Level Fields  (one row per instrument)</t>
        </is>
      </c>
    </row>
    <row r="4" ht="36" customHeight="1">
      <c r="A4" s="5" t="inlineStr">
        <is>
          <t>Col A
policy_name</t>
        </is>
      </c>
      <c r="B4" s="5" t="inlineStr">
        <is>
          <t>Col B
policy_url</t>
        </is>
      </c>
      <c r="C4" s="5" t="inlineStr">
        <is>
          <t>Col C
policy_year</t>
        </is>
      </c>
      <c r="D4" s="5" t="inlineStr">
        <is>
          <t>Col D
policy_objective</t>
        </is>
      </c>
      <c r="E4" s="5" t="inlineStr">
        <is>
          <t>Col E
policy_target
(0/1)</t>
        </is>
      </c>
      <c r="F4" s="5" t="inlineStr">
        <is>
          <t>Col F
policy_target_text</t>
        </is>
      </c>
      <c r="G4" s="5" t="inlineStr">
        <is>
          <t>Col G
policy_type
(score)</t>
        </is>
      </c>
      <c r="H4" s="5" t="inlineStr">
        <is>
          <t>Col H
policy_type_justification</t>
        </is>
      </c>
      <c r="I4" s="5" t="inlineStr">
        <is>
          <t>Col I
policy_integration
(score)</t>
        </is>
      </c>
      <c r="J4" s="5" t="inlineStr">
        <is>
          <t>Col J
policy_sectors_list</t>
        </is>
      </c>
      <c r="K4" s="5" t="inlineStr">
        <is>
          <t>Col K
policy_circularity
(score)</t>
        </is>
      </c>
      <c r="L4" s="5" t="inlineStr">
        <is>
          <t>Col L
policy_lifecycle_phases_list</t>
        </is>
      </c>
      <c r="M4" s="5" t="inlineStr">
        <is>
          <t>Col M
policy_budget
(score)</t>
        </is>
      </c>
      <c r="N4" s="5" t="inlineStr">
        <is>
          <t>Col N
policy_budget_text</t>
        </is>
      </c>
      <c r="O4" s="5" t="inlineStr">
        <is>
          <t>Col O
policy_score
[auto]</t>
        </is>
      </c>
      <c r="P4" s="6" t="inlineStr">
        <is>
          <t>Col P
instrument_type
(score)</t>
        </is>
      </c>
      <c r="Q4" s="6" t="inlineStr">
        <is>
          <t>Col Q
instrument_lifecycle_stage</t>
        </is>
      </c>
      <c r="R4" s="6" t="inlineStr">
        <is>
          <t>Col R
instrument_description</t>
        </is>
      </c>
      <c r="S4" s="6" t="inlineStr">
        <is>
          <t>Col S
instrument_in_force
(0/1)</t>
        </is>
      </c>
      <c r="T4" s="6" t="inlineStr">
        <is>
          <t>Col T
instrument_implementation
(score)</t>
        </is>
      </c>
      <c r="U4" s="6" t="inlineStr">
        <is>
          <t>Col U
instrument_implementation_text</t>
        </is>
      </c>
      <c r="V4" s="6" t="inlineStr">
        <is>
          <t>Col V
instrument_score
[auto]</t>
        </is>
      </c>
      <c r="W4" s="6" t="inlineStr">
        <is>
          <t>Col W
comments</t>
        </is>
      </c>
      <c r="X4" s="6" t="inlineStr">
        <is>
          <t>Col X
—</t>
        </is>
      </c>
    </row>
    <row r="5" ht="220" customHeight="1">
      <c r="A5" s="7" t="inlineStr">
        <is>
          <t>Management Plan of Khaptad National Park and its Buffer Zone (FY 2081/82–2085/86 BS / 2024/25–2028/29)</t>
        </is>
      </c>
      <c r="B5" s="7" t="inlineStr">
        <is>
          <t>https://giwmscdntwo.gov.np/media/pdf_upload/Khaptad%20NP%20Management%20Plan%20(2082-2086)_vshs1ki.pdf</t>
        </is>
      </c>
      <c r="C5" s="8" t="n">
        <v>2024</v>
      </c>
      <c r="D5" s="7" t="inlineStr">
        <is>
          <t>Five-year management plan (2024/25–2028/29) for Khaptad National Park (225 km²) and its Buffer Zone (216 km²) in Sudurpaschim Province, Nepal, issued by the Department of National Parks and Wildlife Conservation. Addresses biodiversity conservation, habitat management, species protection, tourism, human-wildlife conflict, and community livelihoods. In relation to plastics: includes banning of plastic bags and prohibition on polluting plastic items; waste collection infrastructure (70 dustbins); organising clean-up campaigns to collect plastics; preparing a common sanitation guideline for tourism accommodation operators; training on waste segregation and recycling; and a 5R (Reduce, Reuse, Recycle, Remove, Reject) approach to solid waste in the park and BZ.</t>
        </is>
      </c>
      <c r="E5" s="9" t="n">
        <v>0</v>
      </c>
      <c r="F5" s="7" t="inlineStr"/>
      <c r="G5" s="9" t="n">
        <v>0.25</v>
      </c>
      <c r="H5" s="7" t="inlineStr">
        <is>
          <t>Five-year management plan for Khaptad National Park and its Buffer Zone, prepared by the Khaptad National Park Office under the Department of National Parks and Wildlife Conservation (DNPWC), Ministry of Forests and Environment, Government of Nepal; published 2024. Issued as an administrative/operational management plan — not enacted by Parliament and not a sub-legislative regulation or executive decree. The plan contains activity-level operational targets with budget allocations but no quantifiable plastic-specific reduction targets. Scored 0.25 (strategy/plan with aspirational commitments).</t>
        </is>
      </c>
      <c r="I5" s="9" t="n">
        <v>1</v>
      </c>
      <c r="J5" s="7" t="inlineStr">
        <is>
          <t>tourism, waste management, conservation, water, agriculture, energy, municipalities</t>
        </is>
      </c>
      <c r="K5" s="9" t="n">
        <v>0.75</v>
      </c>
      <c r="L5" s="7" t="inlineStr">
        <is>
          <t>consumption, recycling, disposal, environmental leakage</t>
        </is>
      </c>
      <c r="M5" s="9" t="n">
        <v>0.5</v>
      </c>
      <c r="N5" s="7" t="inlineStr">
        <is>
          <t>Table 7, Section 11.1 (p. 64): 'Climate change adaptation and Solid waste management — total planned budget: NRs. 24,275,000 (2.70% of total plan budget of NRs. 899,797,000).' Specific solid waste activity budgets in Section 10.4 budget tables (p. 131): garbage disposal demonstrations NRs. 512,500; prohibiting plastic bags NRs. 820,000; organising clean-up campaigns to collect plastics NRs. 3,063,570; preparing sanitation guideline NRs. 300,000. Budget is an administrative allocation within the management plan framework, subject to annual government appropriations; not legally ring-fenced as a dedicated fund or self-generating mechanism.</t>
        </is>
      </c>
      <c r="O5" s="10">
        <f>AVERAGE(G5,I5,K5,M5,P5)</f>
        <v/>
      </c>
      <c r="P5" s="11" t="n">
        <v>1</v>
      </c>
      <c r="Q5" s="12" t="inlineStr">
        <is>
          <t>Consumption</t>
        </is>
      </c>
      <c r="R5" s="13" t="inlineStr">
        <is>
          <t>Section 9.2.3.3 (p. 52) — Solid Waste Management Strategies: 'Promote waste reduction practices by banning plastics, promoting reusable items, and providing water refilling station.' Section 9.2.3.4 / Activity 10.4.2 (pp. 53, 131) — Solid Waste Management Activities: 'Provide support to manage garbage with special focus on reducing production, recycling, by prohibiting use of polluting items such as plastic bags.' Context (Sec. 9.2.3.1, p. 52): 'In the BZ, water sources along the major trails are being contaminated due to huge amount of plastics.' Both the core park and Buffer Zone are targeted.</t>
        </is>
      </c>
      <c r="S5" s="13" t="n">
        <v>0</v>
      </c>
      <c r="T5" s="11" t="n">
        <v>0.75</v>
      </c>
      <c r="U5" s="12" t="inlineStr">
        <is>
          <t>Sec. 9.2.3.3 (p. 52): 'Promote waste reduction practices by banning plastics, promoting reusable items, and providing water refilling station.'
Activity 10.4.2 (p. 131): 'Provide support to manage garbage with special focus on reducing production, recycling, by prohibiting use of polluting items such as plastic bags.' Budget: NRs. 820,000 over 2 years.
Responsible authority (+0.25): KNP Senior Conservation Officer (SCO), Nepal Army, BZUCs designated as implementing bodies throughout plan; Section 11.1 designates implementing agencies per activity.
Enforcement (−0): No fines or penalties for plastic bag use explicitly stated in the plan.
Monitoring (+0.25): Section 3.6.2 (p. 17): 'Monitoring activities in KNP primarily focus on assessing...solid waste management during festivals.' Annual progress reports required.
Unconditional (+0.25): The plastic bag prohibition is stated without exemptions in the plan activities.</t>
        </is>
      </c>
      <c r="V5" s="14">
        <f>AVERAGE(P5,T5)</f>
        <v/>
      </c>
      <c r="W5" s="12" t="inlineStr">
        <is>
          <t>instrument_in_force = 0: The plan 'promotes banning' and 'provides support to prohibit' plastic bags — these are future implementation commitments, not existing operative regulations. The National Parks and Wildlife Conservation Act 2029 (1972) gives the park authority to regulate activities within the park; a specific plastic ban regulation would need to be issued under DNPWC authority to be in force. The plastic bag ban is explicitly stated as a strategy (S.9.2.3.3) and an activity (10.4.2), which is the strongest plastic-specific commitment in this plan. Cross-reference: Nepal's national Plastic Bag Directive 2082 (national-level) may already operationalise some elements of this commitment; if so, S could be updated to 1.</t>
        </is>
      </c>
      <c r="X5" s="15" t="inlineStr">
        <is>
          <t>Instrument 1 — Plastic bag ban / prohibition on polluting plastic items</t>
        </is>
      </c>
    </row>
    <row r="6" ht="220" customHeight="1">
      <c r="A6" s="7" t="inlineStr">
        <is>
          <t>Management Plan of Khaptad National Park and its Buffer Zone (FY 2081/82–2085/86 BS / 2024/25–2028/29)</t>
        </is>
      </c>
      <c r="B6" s="7" t="inlineStr">
        <is>
          <t>https://giwmscdntwo.gov.np/media/pdf_upload/Khaptad%20NP%20Management%20Plan%20(2082-2086)_vshs1ki.pdf</t>
        </is>
      </c>
      <c r="C6" s="8" t="n">
        <v>2024</v>
      </c>
      <c r="D6" s="7" t="inlineStr">
        <is>
          <t>Five-year management plan (2024/25–2028/29) for Khaptad National Park (225 km²) and its Buffer Zone (216 km²) in Sudurpaschim Province, Nepal, issued by the Department of National Parks and Wildlife Conservation. Addresses biodiversity conservation, habitat management, species protection, tourism, human-wildlife conflict, and community livelihoods. In relation to plastics: includes banning of plastic bags and prohibition on polluting plastic items; waste collection infrastructure (70 dustbins); organising clean-up campaigns to collect plastics; preparing a common sanitation guideline for tourism accommodation operators; training on waste segregation and recycling; and a 5R (Reduce, Reuse, Recycle, Remove, Reject) approach to solid waste in the park and BZ.</t>
        </is>
      </c>
      <c r="E6" s="9" t="n">
        <v>0</v>
      </c>
      <c r="F6" s="7" t="inlineStr"/>
      <c r="G6" s="9" t="n">
        <v>0.25</v>
      </c>
      <c r="H6" s="7" t="inlineStr">
        <is>
          <t>Five-year management plan for Khaptad National Park and its Buffer Zone, prepared by the Khaptad National Park Office under the Department of National Parks and Wildlife Conservation (DNPWC), Ministry of Forests and Environment, Government of Nepal; published 2024. Issued as an administrative/operational management plan — not enacted by Parliament and not a sub-legislative regulation or executive decree. The plan contains activity-level operational targets with budget allocations but no quantifiable plastic-specific reduction targets. Scored 0.25 (strategy/plan with aspirational commitments).</t>
        </is>
      </c>
      <c r="I6" s="9" t="n">
        <v>1</v>
      </c>
      <c r="J6" s="7" t="inlineStr">
        <is>
          <t>tourism, waste management, conservation, water, agriculture, energy, municipalities</t>
        </is>
      </c>
      <c r="K6" s="9" t="n">
        <v>0.75</v>
      </c>
      <c r="L6" s="7" t="inlineStr">
        <is>
          <t>consumption, recycling, disposal, environmental leakage</t>
        </is>
      </c>
      <c r="M6" s="9" t="n">
        <v>0.5</v>
      </c>
      <c r="N6" s="7" t="inlineStr">
        <is>
          <t>Table 7, Section 11.1 (p. 64): 'Climate change adaptation and Solid waste management — total planned budget: NRs. 24,275,000 (2.70% of total plan budget of NRs. 899,797,000).' Specific solid waste activity budgets in Section 10.4 budget tables (p. 131): garbage disposal demonstrations NRs. 512,500; prohibiting plastic bags NRs. 820,000; organising clean-up campaigns to collect plastics NRs. 3,063,570; preparing sanitation guideline NRs. 300,000. Budget is an administrative allocation within the management plan framework, subject to annual government appropriations; not legally ring-fenced as a dedicated fund or self-generating mechanism.</t>
        </is>
      </c>
      <c r="O6" s="10">
        <f>AVERAGE(G6,I6,K6,M6,P6)</f>
        <v/>
      </c>
      <c r="P6" s="16" t="n">
        <v>0.8</v>
      </c>
      <c r="Q6" s="17" t="inlineStr">
        <is>
          <t>Waste management</t>
        </is>
      </c>
      <c r="R6" s="18" t="inlineStr">
        <is>
          <t>Section 8.4 / Activities 9.21 (pp. 48, 127) — Tourism Management Activities: 'Install 70 dustbin in the BZ in proper numbers as per tourist pressure.' 'Organize Clean-up campaign to manage waste in the highway (waste collection and disposal).' Section 9.2.3.3 (p. 52) — Strategy: 'Establish waste collection bins labelled with different types of waste, including recyclables, organic waste, and non-recyclable waste.' Activity 10.4.3 (p. 131): 'Organize clean up campaigns together with security units and BZUC to collect plastics, glass, paper, and metal.' Budget: NRs. 3,063,570 over 5 years. Section 9.2.3.3: 'Promote recycle, reuse, reduce, remove, and reject (5R) approach.'</t>
        </is>
      </c>
      <c r="S6" s="18" t="n">
        <v>0</v>
      </c>
      <c r="T6" s="16" t="n">
        <v>0.75</v>
      </c>
      <c r="U6" s="17" t="inlineStr">
        <is>
          <t>Activity 8.4 (p. 48): 'Install 70 dustbin in the BZ in proper numbers as per tourist pressure.'
Activity 9.21 (p. 127): 'Organize Clean-up campaign to manage waste in the highway (waste collection and disposal).' Budget: NRs. 2,200 (thousand) over 5 years.
Activity 10.4.3 (p. 131): 'Organize clean up campaigns together with security units and BZUC to collect plastics, glass, paper, and metal.' Budget: NRs. 3,063.57 (thousand) over 5 years.
Responsible authority (+0.25): KNP office, Nepal Army, BZUCs designated.
Enforcement (−0): No enforcement mechanism for waste infrastructure compliance.
Monitoring (+0.25): Annual progress report system; waste management monitoring during festivals (Sec. 3.6.2).
Unconditional (+0.25): 70 dustbins and 5 clean-up campaigns stated as specific targets without stated exemptions.</t>
        </is>
      </c>
      <c r="V6" s="14">
        <f>AVERAGE(P6,T6)</f>
        <v/>
      </c>
      <c r="W6" s="17" t="inlineStr">
        <is>
          <t>This instrument combines infrastructure (70 dustbins with labelled waste types for recycling/ organic/non-recyclable) and governance (5R approach and clean-up campaigns). Highest type (Infrastructure, 0.80) applied per coding rules; the 5R promotional aspect (which would be 0.40) is noted here. The 70-dustbin target and 5 annual clean-up campaigns are operationally specific. Activity 10.4.3 explicitly targets plastics: 'collect plastics, glass, paper, and metal' — passes criterion (a). Instrument applies to both core park and Buffer Zone areas.</t>
        </is>
      </c>
      <c r="X6" s="15" t="inlineStr">
        <is>
          <t>Instrument 2 — Waste collection infrastructure (70 dustbins + labelled bins) and clean-up campaigns</t>
        </is>
      </c>
    </row>
    <row r="7" ht="220" customHeight="1">
      <c r="A7" s="7" t="inlineStr">
        <is>
          <t>Management Plan of Khaptad National Park and its Buffer Zone (FY 2081/82–2085/86 BS / 2024/25–2028/29)</t>
        </is>
      </c>
      <c r="B7" s="7" t="inlineStr">
        <is>
          <t>https://giwmscdntwo.gov.np/media/pdf_upload/Khaptad%20NP%20Management%20Plan%20(2082-2086)_vshs1ki.pdf</t>
        </is>
      </c>
      <c r="C7" s="8" t="n">
        <v>2024</v>
      </c>
      <c r="D7" s="7" t="inlineStr">
        <is>
          <t>Five-year management plan (2024/25–2028/29) for Khaptad National Park (225 km²) and its Buffer Zone (216 km²) in Sudurpaschim Province, Nepal, issued by the Department of National Parks and Wildlife Conservation. Addresses biodiversity conservation, habitat management, species protection, tourism, human-wildlife conflict, and community livelihoods. In relation to plastics: includes banning of plastic bags and prohibition on polluting plastic items; waste collection infrastructure (70 dustbins); organising clean-up campaigns to collect plastics; preparing a common sanitation guideline for tourism accommodation operators; training on waste segregation and recycling; and a 5R (Reduce, Reuse, Recycle, Remove, Reject) approach to solid waste in the park and BZ.</t>
        </is>
      </c>
      <c r="E7" s="9" t="n">
        <v>0</v>
      </c>
      <c r="F7" s="7" t="inlineStr"/>
      <c r="G7" s="9" t="n">
        <v>0.25</v>
      </c>
      <c r="H7" s="7" t="inlineStr">
        <is>
          <t>Five-year management plan for Khaptad National Park and its Buffer Zone, prepared by the Khaptad National Park Office under the Department of National Parks and Wildlife Conservation (DNPWC), Ministry of Forests and Environment, Government of Nepal; published 2024. Issued as an administrative/operational management plan — not enacted by Parliament and not a sub-legislative regulation or executive decree. The plan contains activity-level operational targets with budget allocations but no quantifiable plastic-specific reduction targets. Scored 0.25 (strategy/plan with aspirational commitments).</t>
        </is>
      </c>
      <c r="I7" s="9" t="n">
        <v>1</v>
      </c>
      <c r="J7" s="7" t="inlineStr">
        <is>
          <t>tourism, waste management, conservation, water, agriculture, energy, municipalities</t>
        </is>
      </c>
      <c r="K7" s="9" t="n">
        <v>0.75</v>
      </c>
      <c r="L7" s="7" t="inlineStr">
        <is>
          <t>consumption, recycling, disposal, environmental leakage</t>
        </is>
      </c>
      <c r="M7" s="9" t="n">
        <v>0.5</v>
      </c>
      <c r="N7" s="7" t="inlineStr">
        <is>
          <t>Table 7, Section 11.1 (p. 64): 'Climate change adaptation and Solid waste management — total planned budget: NRs. 24,275,000 (2.70% of total plan budget of NRs. 899,797,000).' Specific solid waste activity budgets in Section 10.4 budget tables (p. 131): garbage disposal demonstrations NRs. 512,500; prohibiting plastic bags NRs. 820,000; organising clean-up campaigns to collect plastics NRs. 3,063,570; preparing sanitation guideline NRs. 300,000. Budget is an administrative allocation within the management plan framework, subject to annual government appropriations; not legally ring-fenced as a dedicated fund or self-generating mechanism.</t>
        </is>
      </c>
      <c r="O7" s="10">
        <f>AVERAGE(G7,I7,K7,M7,P7)</f>
        <v/>
      </c>
      <c r="P7" s="19" t="n">
        <v>1</v>
      </c>
      <c r="Q7" s="20" t="inlineStr">
        <is>
          <t>Consumption</t>
        </is>
      </c>
      <c r="R7" s="21" t="inlineStr">
        <is>
          <t>Section 8.4 / Activity 9.22 (pp. 48, 127) — Tourism Management Activities: 'Prepare operational and management guidelines for home stay in KNP.' Activity 10.4.4 (pp. 53, 131) — Solid Waste Management Activities: 'Prepare a common sanitation guideline to make hotel, lodge, homestay and restaurant to make them adopt minimum standards.' Budget: NRs. 300,000. This mandatory minimum standard for accommodation operators would govern plastic waste management in tourist-facing establishments within the park and BZ.</t>
        </is>
      </c>
      <c r="S7" s="21" t="n">
        <v>0</v>
      </c>
      <c r="T7" s="19" t="n">
        <v>0.5</v>
      </c>
      <c r="U7" s="20" t="inlineStr">
        <is>
          <t>Activity 10.4.4 (p. 131): 'Prepare a common sanitation guideline to make hotel, lodge, homestay and restaurant to make them adopt minimum standards.' Budget: NRs. 300,000 in Year 1.
Activity 9.22 (p. 127): 'Prepare operational and management guidelines for home stay in KNP.' Budget: NRs. 825,000 over 5 years.
Responsible authority (+0.25): KNP park authority designated as the preparing body.
Enforcement (−0): No explicit enforcement mechanism or penalties for non-compliance with the sanitation guideline stated in the plan.
Monitoring (−0): No specific monitoring mechanism stated for accommodation compliance.
Unconditional (+0.25): The guideline is to apply to 'hotel, lodge, homestay and restaurant' — universal within its scope with no stated exemptions.</t>
        </is>
      </c>
      <c r="V7" s="14">
        <f>AVERAGE(P7,T7)</f>
        <v/>
      </c>
      <c r="W7" s="20" t="inlineStr">
        <is>
          <t>The plan commits to PREPARING a common sanitation guideline — this is a future planning action (S = 0). The sanitation guideline is the most governance-oriented plastic-relevant instrument in this plan. It would function as a mandatory performance standard once issued, targeting consumption practices (plastic waste generation) at accommodation operators. P = 1.0 (Regulatory - mandatory performance standard) because the guideline is described as requiring hotels/lodges to 'adopt minimum standards' — mandatory language. However, P = 0.20 (governance) is defensible since the plan merely commits to preparing the guideline, not enacting it. Borderline case noted. Cross-reference: Activity 9.22 (homestay operational guidelines) is a related but separate governance instrument for homestay operations specifically; both are combined here as a single standard-setting instrument.</t>
        </is>
      </c>
      <c r="X7" s="15" t="inlineStr">
        <is>
          <t>Instrument 3 — Common sanitation guideline for hotels/lodges/homestays/restaurants</t>
        </is>
      </c>
    </row>
    <row r="8" ht="220" customHeight="1">
      <c r="A8" s="7" t="inlineStr">
        <is>
          <t>Management Plan of Khaptad National Park and its Buffer Zone (FY 2081/82–2085/86 BS / 2024/25–2028/29)</t>
        </is>
      </c>
      <c r="B8" s="7" t="inlineStr">
        <is>
          <t>https://giwmscdntwo.gov.np/media/pdf_upload/Khaptad%20NP%20Management%20Plan%20(2082-2086)_vshs1ki.pdf</t>
        </is>
      </c>
      <c r="C8" s="8" t="n">
        <v>2024</v>
      </c>
      <c r="D8" s="7" t="inlineStr">
        <is>
          <t>Five-year management plan (2024/25–2028/29) for Khaptad National Park (225 km²) and its Buffer Zone (216 km²) in Sudurpaschim Province, Nepal, issued by the Department of National Parks and Wildlife Conservation. Addresses biodiversity conservation, habitat management, species protection, tourism, human-wildlife conflict, and community livelihoods. In relation to plastics: includes banning of plastic bags and prohibition on polluting plastic items; waste collection infrastructure (70 dustbins); organising clean-up campaigns to collect plastics; preparing a common sanitation guideline for tourism accommodation operators; training on waste segregation and recycling; and a 5R (Reduce, Reuse, Recycle, Remove, Reject) approach to solid waste in the park and BZ.</t>
        </is>
      </c>
      <c r="E8" s="9" t="n">
        <v>0</v>
      </c>
      <c r="F8" s="7" t="inlineStr"/>
      <c r="G8" s="9" t="n">
        <v>0.25</v>
      </c>
      <c r="H8" s="7" t="inlineStr">
        <is>
          <t>Five-year management plan for Khaptad National Park and its Buffer Zone, prepared by the Khaptad National Park Office under the Department of National Parks and Wildlife Conservation (DNPWC), Ministry of Forests and Environment, Government of Nepal; published 2024. Issued as an administrative/operational management plan — not enacted by Parliament and not a sub-legislative regulation or executive decree. The plan contains activity-level operational targets with budget allocations but no quantifiable plastic-specific reduction targets. Scored 0.25 (strategy/plan with aspirational commitments).</t>
        </is>
      </c>
      <c r="I8" s="9" t="n">
        <v>1</v>
      </c>
      <c r="J8" s="7" t="inlineStr">
        <is>
          <t>tourism, waste management, conservation, water, agriculture, energy, municipalities</t>
        </is>
      </c>
      <c r="K8" s="9" t="n">
        <v>0.75</v>
      </c>
      <c r="L8" s="7" t="inlineStr">
        <is>
          <t>consumption, recycling, disposal, environmental leakage</t>
        </is>
      </c>
      <c r="M8" s="9" t="n">
        <v>0.5</v>
      </c>
      <c r="N8" s="7" t="inlineStr">
        <is>
          <t>Table 7, Section 11.1 (p. 64): 'Climate change adaptation and Solid waste management — total planned budget: NRs. 24,275,000 (2.70% of total plan budget of NRs. 899,797,000).' Specific solid waste activity budgets in Section 10.4 budget tables (p. 131): garbage disposal demonstrations NRs. 512,500; prohibiting plastic bags NRs. 820,000; organising clean-up campaigns to collect plastics NRs. 3,063,570; preparing sanitation guideline NRs. 300,000. Budget is an administrative allocation within the management plan framework, subject to annual government appropriations; not legally ring-fenced as a dedicated fund or self-generating mechanism.</t>
        </is>
      </c>
      <c r="O8" s="10">
        <f>AVERAGE(G8,I8,K8,M8,P8)</f>
        <v/>
      </c>
      <c r="P8" s="11" t="n">
        <v>0.4</v>
      </c>
      <c r="Q8" s="12" t="inlineStr">
        <is>
          <t>Waste management</t>
        </is>
      </c>
      <c r="R8" s="13" t="inlineStr">
        <is>
          <t>Section 6.3 (p. 36) — Capacity Building for Frontline Staff: 'Providing training on waste management practices, including waste segregation, recycling procedures, and proper disposal techniques.' Section 9.2.3.3 (p. 52) — Strategies: 'Develop educational materials and signage to inform visitors about proper waste management practices; Mobilize eco-clubs to raise awareness about importance of solid waste management.' Activity 10.4.1 (p. 131): 'Provide support to demonstrate proper techniques of garbage disposal and recycling techniques.' Budget: NRs. 512,500.</t>
        </is>
      </c>
      <c r="S8" s="13" t="n">
        <v>0</v>
      </c>
      <c r="T8" s="11" t="n">
        <v>0.75</v>
      </c>
      <c r="U8" s="12" t="inlineStr">
        <is>
          <t>Sec. 6.3 (p. 36): 'Providing training on waste management practices, including waste segregation, recycling procedures, and proper disposal techniques.'
Activity budget table (p. 121): 'Providing training on waste management practices, including waste segregation, recycling procedures, and proper disposal techniques — NRs. 1,000 per session, 5 sessions = NRs. 1,100 (thousands) over 5 years.'
Sec. 9.2.3.3: 'Develop educational materials and signage to inform visitors about proper waste management practices; Mobilize eco-clubs to raise awareness about importance of solid waste management.'
Responsible authority (+0.25): KNP administration and BZ institutions responsible for capacity building (Section 6.3 explicitly designates this).
Enforcement (−0): No penalties for non-participation in training.
Monitoring (+0.25): Activity budget table and annual progress reports track training activities.
Unconditional (+0.25): Training applies to 'frontline staff and security units' universally; eco-club mobilization and educational materials for visitors have no stated exemptions.</t>
        </is>
      </c>
      <c r="V8" s="14">
        <f>AVERAGE(P8,T8)</f>
        <v/>
      </c>
      <c r="W8" s="12" t="inlineStr">
        <is>
          <t>Training and awareness are critical enablers of the plastic ban and 5R approach commitments. S = 0: training activities are future commitments. P = 0.40 (Information &amp; voluntary) reflects the educational nature of this instrument; the waste management training explicitly covers 'waste segregation, recycling procedures, and proper disposal techniques' — directly relevant to plastic waste. The eco-club mobilization and visitor signage elements also address plastic waste awareness (criterion a — mentions plastics in context). T = 0.75 because responsible authority, monitoring, and unconditional sub-scores are met.</t>
        </is>
      </c>
      <c r="X8" s="15" t="inlineStr">
        <is>
          <t>Instrument 4 — Training on waste management (waste segregation, recycling, disposal)</t>
        </is>
      </c>
    </row>
  </sheetData>
  <mergeCells count="4">
    <mergeCell ref="A2:X2"/>
    <mergeCell ref="P3:X3"/>
    <mergeCell ref="A3:O3"/>
    <mergeCell ref="A1:X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7"/>
  <sheetViews>
    <sheetView workbookViewId="0">
      <selection activeCell="A1" sqref="A1"/>
    </sheetView>
  </sheetViews>
  <sheetFormatPr baseColWidth="8" defaultRowHeight="15"/>
  <cols>
    <col width="50" customWidth="1" min="1" max="1"/>
    <col width="12" customWidth="1" min="2" max="2"/>
    <col width="12" customWidth="1" min="3" max="3"/>
    <col width="12" customWidth="1" min="4" max="4"/>
    <col width="12" customWidth="1" min="5" max="5"/>
  </cols>
  <sheetData>
    <row r="1" ht="35" customHeight="1">
      <c r="A1" s="3" t="inlineStr">
        <is>
          <t>SCORE SUMMARY</t>
        </is>
      </c>
    </row>
    <row r="2" ht="35" customHeight="1">
      <c r="A2" s="22" t="inlineStr">
        <is>
          <t>Instrument</t>
        </is>
      </c>
      <c r="B2" s="22" t="inlineStr">
        <is>
          <t>P (type)</t>
        </is>
      </c>
      <c r="C2" s="22" t="inlineStr">
        <is>
          <t>S (in force)</t>
        </is>
      </c>
      <c r="D2" s="22" t="inlineStr">
        <is>
          <t>T (impl.)</t>
        </is>
      </c>
      <c r="E2" s="22" t="inlineStr">
        <is>
          <t>V (score [auto])</t>
        </is>
      </c>
    </row>
    <row r="3" ht="35" customHeight="1">
      <c r="A3" s="23" t="inlineStr">
        <is>
          <t>1 — Plastic bag ban / prohibition on polluting plastic items</t>
        </is>
      </c>
      <c r="B3" s="23" t="inlineStr">
        <is>
          <t>1.00</t>
        </is>
      </c>
      <c r="C3" s="23" t="inlineStr">
        <is>
          <t>0</t>
        </is>
      </c>
      <c r="D3" s="23" t="inlineStr">
        <is>
          <t>0.75</t>
        </is>
      </c>
      <c r="E3" s="23" t="inlineStr">
        <is>
          <t>0.875</t>
        </is>
      </c>
    </row>
    <row r="4" ht="35" customHeight="1">
      <c r="A4" s="23" t="inlineStr">
        <is>
          <t>2 — Waste collection infrastructure (70 dustbins + labelled bins) + clean-up campaigns</t>
        </is>
      </c>
      <c r="B4" s="23" t="inlineStr">
        <is>
          <t>0.80</t>
        </is>
      </c>
      <c r="C4" s="23" t="inlineStr">
        <is>
          <t>0</t>
        </is>
      </c>
      <c r="D4" s="23" t="inlineStr">
        <is>
          <t>0.75</t>
        </is>
      </c>
      <c r="E4" s="23" t="inlineStr">
        <is>
          <t>0.775</t>
        </is>
      </c>
    </row>
    <row r="5" ht="35" customHeight="1">
      <c r="A5" s="23" t="inlineStr">
        <is>
          <t>3 — Common sanitation guideline for hotels/lodges/homestays/restaurants</t>
        </is>
      </c>
      <c r="B5" s="23" t="inlineStr">
        <is>
          <t>1.00</t>
        </is>
      </c>
      <c r="C5" s="23" t="inlineStr">
        <is>
          <t>0</t>
        </is>
      </c>
      <c r="D5" s="23" t="inlineStr">
        <is>
          <t>0.50</t>
        </is>
      </c>
      <c r="E5" s="23" t="inlineStr">
        <is>
          <t>0.750</t>
        </is>
      </c>
    </row>
    <row r="6" ht="35" customHeight="1">
      <c r="A6" s="23" t="inlineStr">
        <is>
          <t>4 — Training on waste management (segregation, recycling, disposal)</t>
        </is>
      </c>
      <c r="B6" s="23" t="inlineStr">
        <is>
          <t>0.40</t>
        </is>
      </c>
      <c r="C6" s="23" t="inlineStr">
        <is>
          <t>0</t>
        </is>
      </c>
      <c r="D6" s="23" t="inlineStr">
        <is>
          <t>0.75</t>
        </is>
      </c>
      <c r="E6" s="23" t="inlineStr">
        <is>
          <t>0.575</t>
        </is>
      </c>
    </row>
    <row r="7" ht="35" customHeight="1"/>
    <row r="8" ht="35" customHeight="1">
      <c r="A8" s="3" t="inlineStr">
        <is>
          <t>POLICY-LEVEL SCORES</t>
        </is>
      </c>
    </row>
    <row r="9" ht="35" customHeight="1">
      <c r="A9" s="22" t="inlineStr">
        <is>
          <t>Field</t>
        </is>
      </c>
      <c r="B9" s="22" t="inlineStr">
        <is>
          <t>Value</t>
        </is>
      </c>
    </row>
    <row r="10" ht="35" customHeight="1">
      <c r="A10" s="23" t="inlineStr">
        <is>
          <t>policy_type (G)</t>
        </is>
      </c>
      <c r="B10" s="23" t="inlineStr">
        <is>
          <t>0.25  (strategy/plan — aspirational commitments, no quantifiable plastic targets)</t>
        </is>
      </c>
    </row>
    <row r="11" ht="35" customHeight="1">
      <c r="A11" s="23" t="inlineStr">
        <is>
          <t>policy_target (E)</t>
        </is>
      </c>
      <c r="B11" s="23" t="inlineStr">
        <is>
          <t>0</t>
        </is>
      </c>
    </row>
    <row r="12" ht="35" customHeight="1">
      <c r="A12" s="23" t="inlineStr">
        <is>
          <t>policy_integration (I)</t>
        </is>
      </c>
      <c r="B12" s="23" t="inlineStr">
        <is>
          <t>1.00  (7 sectors: tourism, waste management, conservation, water, agriculture, energy, municipalities)</t>
        </is>
      </c>
    </row>
    <row r="13" ht="35" customHeight="1">
      <c r="A13" s="23" t="inlineStr">
        <is>
          <t>policy_circularity (K)</t>
        </is>
      </c>
      <c r="B13" s="23" t="inlineStr">
        <is>
          <t>0.75  (4 lifecycle phases: consumption, recycling, disposal, environmental leakage)</t>
        </is>
      </c>
    </row>
    <row r="14" ht="35" customHeight="1">
      <c r="A14" s="23" t="inlineStr">
        <is>
          <t>policy_budget (M)</t>
        </is>
      </c>
      <c r="B14" s="23" t="inlineStr">
        <is>
          <t>0.50  (budget allocated to solid waste management activities; not legally ring-fenced)</t>
        </is>
      </c>
    </row>
    <row r="15" ht="35" customHeight="1">
      <c r="A15" s="23" t="inlineStr">
        <is>
          <t>policy_score (O)</t>
        </is>
      </c>
      <c r="B15" s="23" t="inlineStr">
        <is>
          <t>[auto] = AVERAGE(G, I, K, M, P per row)</t>
        </is>
      </c>
    </row>
    <row r="16" ht="35" customHeight="1"/>
    <row r="17" ht="35" customHeight="1">
      <c r="A17" s="3" t="inlineStr">
        <is>
          <t>KEY VERBATIM EVIDENCE — PLASTIC-RELEVANT PASSAGES</t>
        </is>
      </c>
    </row>
    <row r="18" ht="35" customHeight="1">
      <c r="A18" s="22" t="inlineStr">
        <is>
          <t>Location</t>
        </is>
      </c>
      <c r="B18" s="22" t="inlineStr">
        <is>
          <t>Verbatim text</t>
        </is>
      </c>
    </row>
    <row r="19" ht="35" customHeight="1">
      <c r="A19" s="23" t="inlineStr">
        <is>
          <t>Sec. 9.2.3.1, p.52 — Context</t>
        </is>
      </c>
      <c r="B19" s="23" t="inlineStr">
        <is>
          <t>'On the other hand, improper management is adopted to dispose of other non-biodegradable waste types, including glass, metal, and plastic materials. In the BZ, water sources along the major trails are being contaminated due to huge amount of plastics.'</t>
        </is>
      </c>
    </row>
    <row r="20" ht="35" customHeight="1">
      <c r="A20" s="23" t="inlineStr">
        <is>
          <t>Sec. 9.2.3.3, p.52 — Strategy (plastic ban)</t>
        </is>
      </c>
      <c r="B20" s="23" t="inlineStr">
        <is>
          <t>'Promote waste reduction practices by banning plastics, promoting reusable items, and providing water refilling station.'</t>
        </is>
      </c>
    </row>
    <row r="21" ht="35" customHeight="1">
      <c r="A21" s="23" t="inlineStr">
        <is>
          <t>Sec. 9.2.3.3, p.52 — Strategy (5R)</t>
        </is>
      </c>
      <c r="B21" s="23" t="inlineStr">
        <is>
          <t>'Promote recycle, reuse, reduce, remove, and reject (5R) approach to manage wastes in the Park.'</t>
        </is>
      </c>
    </row>
    <row r="22" ht="35" customHeight="1">
      <c r="A22" s="23" t="inlineStr">
        <is>
          <t>Activity 10.4.2, p.131 — Plastic bag prohibition (with budget NRs 820,000)</t>
        </is>
      </c>
      <c r="B22" s="23" t="inlineStr">
        <is>
          <t>'Provide support to manage garbage with special focus on reducing production, recycling, by prohibiting use of polluting items such as plastic bags.'</t>
        </is>
      </c>
    </row>
    <row r="23" ht="35" customHeight="1">
      <c r="A23" s="23" t="inlineStr">
        <is>
          <t>Activity 10.4.3, p.131 — Clean-up for plastics (budget NRs 3,063,570)</t>
        </is>
      </c>
      <c r="B23" s="23" t="inlineStr">
        <is>
          <t>'Organize clean up campaigns together with security units and BZUC to collect plastics, glass, paper, and metal.'</t>
        </is>
      </c>
    </row>
    <row r="24" ht="35" customHeight="1">
      <c r="A24" s="23" t="inlineStr">
        <is>
          <t>Activity 10.4.4, p.131 — Sanitation guideline (budget NRs 300,000)</t>
        </is>
      </c>
      <c r="B24" s="23" t="inlineStr">
        <is>
          <t>'Prepare a common sanitation guideline to make hotel, lodge, homestay and restaurant to make them adopt minimum standards.'</t>
        </is>
      </c>
    </row>
    <row r="25" ht="35" customHeight="1">
      <c r="A25" s="23" t="inlineStr">
        <is>
          <t>Sec. 8.4, p.48 — Dustbins</t>
        </is>
      </c>
      <c r="B25" s="23" t="inlineStr">
        <is>
          <t>'Install 70 dustbin in the BZ in proper numbers as per tourist pressure.'</t>
        </is>
      </c>
    </row>
    <row r="26" ht="35" customHeight="1">
      <c r="A26" s="23" t="inlineStr">
        <is>
          <t>Sec. 6.3, p.36 — Training</t>
        </is>
      </c>
      <c r="B26" s="23" t="inlineStr">
        <is>
          <t>'Providing training on waste management practices, including waste segregation, recycling procedures, and proper disposal techniques.'</t>
        </is>
      </c>
    </row>
    <row r="27" ht="35" customHeight="1">
      <c r="A27" s="23" t="inlineStr">
        <is>
          <t>Table 7, p.64 — Budget</t>
        </is>
      </c>
      <c r="B27" s="23" t="inlineStr">
        <is>
          <t>'Climate change adaptation and Solid waste management: NRs. 24,275,000 (2.70% of total plan budget of NRs. 899,797,000).'</t>
        </is>
      </c>
    </row>
  </sheetData>
  <mergeCells count="3">
    <mergeCell ref="A1:E1"/>
    <mergeCell ref="A17:E17"/>
    <mergeCell ref="A8:E8"/>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48"/>
  <sheetViews>
    <sheetView workbookViewId="0">
      <selection activeCell="A1" sqref="A1"/>
    </sheetView>
  </sheetViews>
  <sheetFormatPr baseColWidth="8" defaultRowHeight="15"/>
  <cols>
    <col width="14" customWidth="1" min="1" max="1"/>
    <col width="70" customWidth="1" min="2" max="2"/>
  </cols>
  <sheetData>
    <row r="1" ht="18" customHeight="1">
      <c r="A1" s="24" t="inlineStr">
        <is>
          <t>POLICY TYPE (Col G)</t>
        </is>
      </c>
    </row>
    <row r="2" ht="18" customHeight="1">
      <c r="A2" s="25" t="inlineStr">
        <is>
          <t>Score</t>
        </is>
      </c>
      <c r="B2" s="25" t="inlineStr">
        <is>
          <t>Description</t>
        </is>
      </c>
    </row>
    <row r="3" ht="18" customHeight="1">
      <c r="A3" s="26" t="n">
        <v>0.25</v>
      </c>
      <c r="B3" s="27" t="inlineStr">
        <is>
          <t>Strategy/plan — aspirational, no concrete plastic targets</t>
        </is>
      </c>
    </row>
    <row r="4" ht="18" customHeight="1">
      <c r="A4" s="26" t="n">
        <v>0.5</v>
      </c>
      <c r="B4" s="27" t="inlineStr">
        <is>
          <t>Strategy/plan — incorporates quantifiable targets</t>
        </is>
      </c>
    </row>
    <row r="5" ht="18" customHeight="1">
      <c r="A5" s="26" t="n">
        <v>0.75</v>
      </c>
      <c r="B5" s="27" t="inlineStr">
        <is>
          <t>Regulation or executive decree (sub-legislative)</t>
        </is>
      </c>
    </row>
    <row r="6" ht="18" customHeight="1">
      <c r="A6" s="26" t="n">
        <v>1</v>
      </c>
      <c r="B6" s="27" t="inlineStr">
        <is>
          <t>Legislation (parliament)</t>
        </is>
      </c>
    </row>
    <row r="7" ht="18" customHeight="1">
      <c r="A7" s="27" t="inlineStr"/>
    </row>
    <row r="8" ht="18" customHeight="1">
      <c r="A8" s="24" t="inlineStr">
        <is>
          <t>POLICY INTEGRATION (Col I)</t>
        </is>
      </c>
    </row>
    <row r="9" ht="18" customHeight="1">
      <c r="A9" s="25" t="inlineStr">
        <is>
          <t>Score</t>
        </is>
      </c>
      <c r="B9" s="25" t="inlineStr">
        <is>
          <t>Description</t>
        </is>
      </c>
    </row>
    <row r="10" ht="18" customHeight="1">
      <c r="A10" s="26" t="n">
        <v>0</v>
      </c>
      <c r="B10" s="27" t="inlineStr">
        <is>
          <t>0 sectors</t>
        </is>
      </c>
    </row>
    <row r="11" ht="18" customHeight="1">
      <c r="A11" s="26" t="n">
        <v>0.25</v>
      </c>
      <c r="B11" s="27" t="inlineStr">
        <is>
          <t>1–2 sectors</t>
        </is>
      </c>
    </row>
    <row r="12" ht="18" customHeight="1">
      <c r="A12" s="26" t="n">
        <v>0.5</v>
      </c>
      <c r="B12" s="27" t="inlineStr">
        <is>
          <t>3–4 sectors</t>
        </is>
      </c>
    </row>
    <row r="13" ht="18" customHeight="1">
      <c r="A13" s="26" t="n">
        <v>0.75</v>
      </c>
      <c r="B13" s="27" t="inlineStr">
        <is>
          <t>5–6 sectors</t>
        </is>
      </c>
    </row>
    <row r="14" ht="18" customHeight="1">
      <c r="A14" s="26" t="n">
        <v>1</v>
      </c>
      <c r="B14" s="27" t="inlineStr">
        <is>
          <t>7+ sectors</t>
        </is>
      </c>
    </row>
    <row r="15" ht="18" customHeight="1">
      <c r="A15" s="27" t="inlineStr"/>
    </row>
    <row r="16" ht="18" customHeight="1">
      <c r="A16" s="24" t="inlineStr">
        <is>
          <t>POLICY CIRCULARITY (Col K)</t>
        </is>
      </c>
    </row>
    <row r="17" ht="18" customHeight="1">
      <c r="A17" s="25" t="inlineStr">
        <is>
          <t>Score</t>
        </is>
      </c>
      <c r="B17" s="25" t="inlineStr">
        <is>
          <t>Description</t>
        </is>
      </c>
    </row>
    <row r="18" ht="18" customHeight="1">
      <c r="A18" s="26" t="n">
        <v>0.25</v>
      </c>
      <c r="B18" s="27" t="inlineStr">
        <is>
          <t>1 lifecycle phase</t>
        </is>
      </c>
    </row>
    <row r="19" ht="18" customHeight="1">
      <c r="A19" s="26" t="n">
        <v>0.5</v>
      </c>
      <c r="B19" s="27" t="inlineStr">
        <is>
          <t>2 lifecycle phases</t>
        </is>
      </c>
    </row>
    <row r="20" ht="18" customHeight="1">
      <c r="A20" s="26" t="n">
        <v>0.75</v>
      </c>
      <c r="B20" s="27" t="inlineStr">
        <is>
          <t>3–4 lifecycle phases</t>
        </is>
      </c>
    </row>
    <row r="21" ht="18" customHeight="1">
      <c r="A21" s="26" t="n">
        <v>1</v>
      </c>
      <c r="B21" s="27" t="inlineStr">
        <is>
          <t>All 5 phases</t>
        </is>
      </c>
    </row>
    <row r="22" ht="18" customHeight="1">
      <c r="A22" s="27" t="inlineStr"/>
    </row>
    <row r="23" ht="18" customHeight="1">
      <c r="A23" s="24" t="inlineStr">
        <is>
          <t>POLICY BUDGET (Col M)</t>
        </is>
      </c>
    </row>
    <row r="24" ht="18" customHeight="1">
      <c r="A24" s="25" t="inlineStr">
        <is>
          <t>Score</t>
        </is>
      </c>
      <c r="B24" s="25" t="inlineStr">
        <is>
          <t>Description</t>
        </is>
      </c>
    </row>
    <row r="25" ht="18" customHeight="1">
      <c r="A25" s="26" t="n">
        <v>0</v>
      </c>
      <c r="B25" s="27" t="inlineStr">
        <is>
          <t>No budget</t>
        </is>
      </c>
    </row>
    <row r="26" ht="18" customHeight="1">
      <c r="A26" s="26" t="n">
        <v>0.5</v>
      </c>
      <c r="B26" s="27" t="inlineStr">
        <is>
          <t>Budget mentioned, not ring-fenced</t>
        </is>
      </c>
    </row>
    <row r="27" ht="18" customHeight="1">
      <c r="A27" s="26" t="n">
        <v>1</v>
      </c>
      <c r="B27" s="27" t="inlineStr">
        <is>
          <t>Ring-fenced / self-generating fund</t>
        </is>
      </c>
    </row>
    <row r="28" ht="18" customHeight="1">
      <c r="A28" s="27" t="inlineStr"/>
    </row>
    <row r="29" ht="18" customHeight="1">
      <c r="A29" s="24" t="inlineStr">
        <is>
          <t>INSTRUMENT TYPE (Col P)</t>
        </is>
      </c>
    </row>
    <row r="30" ht="18" customHeight="1">
      <c r="A30" s="25" t="inlineStr">
        <is>
          <t>Score</t>
        </is>
      </c>
      <c r="B30" s="25" t="inlineStr">
        <is>
          <t>Description</t>
        </is>
      </c>
    </row>
    <row r="31" ht="18" customHeight="1">
      <c r="A31" s="26" t="n">
        <v>0</v>
      </c>
      <c r="B31" s="27" t="inlineStr">
        <is>
          <t>No instrument</t>
        </is>
      </c>
    </row>
    <row r="32" ht="18" customHeight="1">
      <c r="A32" s="26" t="n">
        <v>0.2</v>
      </c>
      <c r="B32" s="27" t="inlineStr">
        <is>
          <t>Governance &amp; coordination</t>
        </is>
      </c>
    </row>
    <row r="33" ht="18" customHeight="1">
      <c r="A33" s="26" t="n">
        <v>0.4</v>
      </c>
      <c r="B33" s="27" t="inlineStr">
        <is>
          <t>Information &amp; voluntary</t>
        </is>
      </c>
    </row>
    <row r="34" ht="18" customHeight="1">
      <c r="A34" s="26" t="n">
        <v>0.6</v>
      </c>
      <c r="B34" s="27" t="inlineStr">
        <is>
          <t>Economic</t>
        </is>
      </c>
    </row>
    <row r="35" ht="18" customHeight="1">
      <c r="A35" s="26" t="n">
        <v>0.8</v>
      </c>
      <c r="B35" s="27" t="inlineStr">
        <is>
          <t>Infrastructure</t>
        </is>
      </c>
    </row>
    <row r="36" ht="18" customHeight="1">
      <c r="A36" s="26" t="n">
        <v>1</v>
      </c>
      <c r="B36" s="27" t="inlineStr">
        <is>
          <t>Regulatory (ban, EPR, mandatory standard)</t>
        </is>
      </c>
    </row>
    <row r="37" ht="18" customHeight="1">
      <c r="A37" s="27" t="inlineStr"/>
    </row>
    <row r="38" ht="18" customHeight="1">
      <c r="A38" s="24" t="inlineStr">
        <is>
          <t>INSTRUMENT IN FORCE (Col S)</t>
        </is>
      </c>
    </row>
    <row r="39" ht="18" customHeight="1">
      <c r="A39" s="25" t="inlineStr">
        <is>
          <t>Score</t>
        </is>
      </c>
      <c r="B39" s="25" t="inlineStr">
        <is>
          <t>Description</t>
        </is>
      </c>
    </row>
    <row r="40" ht="18" customHeight="1">
      <c r="A40" s="26" t="n">
        <v>0</v>
      </c>
      <c r="B40" s="27" t="inlineStr">
        <is>
          <t>Not in force — plan-level commitment not yet operationalised</t>
        </is>
      </c>
    </row>
    <row r="41" ht="18" customHeight="1">
      <c r="A41" s="26" t="n">
        <v>1</v>
      </c>
      <c r="B41" s="27" t="inlineStr">
        <is>
          <t>In force — mandatory language or operationalised by subordinate instrument</t>
        </is>
      </c>
    </row>
    <row r="42" ht="18" customHeight="1">
      <c r="A42" s="27" t="inlineStr"/>
    </row>
    <row r="43" ht="18" customHeight="1">
      <c r="A43" s="24" t="inlineStr">
        <is>
          <t>INSTRUMENT IMPLEMENTATION (Col T)</t>
        </is>
      </c>
    </row>
    <row r="44" ht="18" customHeight="1">
      <c r="A44" s="25" t="inlineStr">
        <is>
          <t>Sub-score</t>
        </is>
      </c>
      <c r="B44" s="25" t="inlineStr">
        <is>
          <t>Criterion (must be explicitly evidenced)</t>
        </is>
      </c>
    </row>
    <row r="45" ht="18" customHeight="1">
      <c r="A45" s="27" t="inlineStr">
        <is>
          <t>+0.25</t>
        </is>
      </c>
      <c r="B45" s="27" t="inlineStr">
        <is>
          <t>Responsible authority designated</t>
        </is>
      </c>
    </row>
    <row r="46" ht="18" customHeight="1">
      <c r="A46" s="27" t="inlineStr">
        <is>
          <t>+0.25</t>
        </is>
      </c>
      <c r="B46" s="27" t="inlineStr">
        <is>
          <t>Enforcement (fines/penalties)</t>
        </is>
      </c>
    </row>
    <row r="47" ht="18" customHeight="1">
      <c r="A47" s="27" t="inlineStr">
        <is>
          <t>+0.25</t>
        </is>
      </c>
      <c r="B47" s="27" t="inlineStr">
        <is>
          <t>Monitoring mechanism</t>
        </is>
      </c>
    </row>
    <row r="48" ht="18" customHeight="1">
      <c r="A48" s="27" t="inlineStr">
        <is>
          <t>+0.25</t>
        </is>
      </c>
      <c r="B48" s="27" t="inlineStr">
        <is>
          <t>Unconditional (no exemptions)</t>
        </is>
      </c>
    </row>
  </sheetData>
  <mergeCells count="7">
    <mergeCell ref="A38:B38"/>
    <mergeCell ref="A16:B16"/>
    <mergeCell ref="A29:B29"/>
    <mergeCell ref="A43:B43"/>
    <mergeCell ref="A1:B1"/>
    <mergeCell ref="A23:B23"/>
    <mergeCell ref="A8:B8"/>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2026-06-10T10:13:51Z</dcterms:created>
  <dcterms:modified xsi:type="dcterms:W3CDTF">2026-06-10T10:13:51Z</dcterms:modified>
</cp:coreProperties>
</file>