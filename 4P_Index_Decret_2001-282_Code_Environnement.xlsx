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E2EFD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
  <sheetViews>
    <sheetView workbookViewId="0">
      <pane ySplit="1" topLeftCell="A2" activePane="bottomLeft" state="frozen"/>
      <selection pane="bottomLeft" activeCell="A1" sqref="A1"/>
    </sheetView>
  </sheetViews>
  <sheetFormatPr baseColWidth="8" defaultRowHeight="15"/>
  <cols>
    <col width="48" customWidth="1" min="1" max="1"/>
    <col width="52" customWidth="1" min="2" max="2"/>
    <col width="10" customWidth="1" min="3" max="3"/>
    <col width="52" customWidth="1" min="4" max="4"/>
    <col width="12" customWidth="1" min="5" max="5"/>
    <col width="20" customWidth="1" min="6" max="6"/>
    <col width="10" customWidth="1" min="7" max="7"/>
    <col width="48" customWidth="1" min="8" max="8"/>
    <col width="14" customWidth="1" min="9" max="9"/>
    <col width="40" customWidth="1" min="10" max="10"/>
    <col width="14" customWidth="1" min="11" max="11"/>
    <col width="36" customWidth="1" min="12" max="12"/>
    <col width="12" customWidth="1" min="13" max="13"/>
    <col width="52" customWidth="1" min="14" max="14"/>
    <col width="12" customWidth="1" min="15" max="15"/>
    <col width="14" customWidth="1" min="16" max="16"/>
    <col width="22" customWidth="1" min="17" max="17"/>
    <col width="60" customWidth="1" min="18" max="18"/>
    <col width="14" customWidth="1" min="19" max="19"/>
    <col width="18" customWidth="1" min="20" max="20"/>
    <col width="52" customWidth="1" min="21" max="21"/>
    <col width="14" customWidth="1" min="22" max="22"/>
    <col width="52" customWidth="1" min="23" max="23"/>
  </cols>
  <sheetData>
    <row r="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Decree No. 2001-282 of 12 April 2001 implementing the Environmental Code</t>
        </is>
      </c>
      <c r="B2" s="2" t="inlineStr">
        <is>
          <t>https://faolex.fao.org/docs/pdf/sen37192.pdf</t>
        </is>
      </c>
      <c r="C2" s="2" t="n">
        <v>2001</v>
      </c>
      <c r="D2" s="2" t="inlineStr">
        <is>
          <t>Implement the Environmental Code by regulating classified installations, environmental impact assessment, water pollution, water police, air pollution and noise pollution — providing an indirect regulatory framework for plastic pollution through ICPE rules, discharges, incineration and EIA for waste-treatment projects, without plastic-specific measures.</t>
        </is>
      </c>
      <c r="E2" s="2" t="n">
        <v>0</v>
      </c>
      <c r="F2" s="2" t="inlineStr"/>
      <c r="G2" s="2" t="n">
        <v>0.75</v>
      </c>
      <c r="H2" s="2" t="inlineStr">
        <is>
          <t>Executive decree adopted by the President of the Republic on 12 April 2001, after opinion of the Council of State (13 October 2000), on the report of the Minister of the Environment, implementing Law No. 2001-01. Sub-legislative implementing regulation (regulatory part of the Code), not an act enacted by Parliament.</t>
        </is>
      </c>
      <c r="I2" s="2" t="n">
        <v>1</v>
      </c>
      <c r="J2" s="2" t="inlineStr">
        <is>
          <t>environment, industry, transport, municipalities, fisheries, water, health, urban planning, agriculture, waste management, packaging</t>
        </is>
      </c>
      <c r="K2" s="2" t="n">
        <v>1</v>
      </c>
      <c r="L2" s="2" t="inlineStr">
        <is>
          <t>production, consumption, recycling, disposal, environmental leakage</t>
        </is>
      </c>
      <c r="M2" s="2" t="n">
        <v>0.5</v>
      </c>
      <c r="N2" s="2" t="inlineStr">
        <is>
          <t>Art. R26: classified-installation rights and taxes must be paid within 45 days after assessment notice. Art. R32: surface tax payable by every classified installation. Art. R54: effluent pollution tax set according to degree of effluent pollution.</t>
        </is>
      </c>
      <c r="O2" s="3">
        <f>AVERAGE(G2,I2,K2,M2,P2)</f>
        <v/>
      </c>
      <c r="P2" s="2" t="n">
        <v>1</v>
      </c>
      <c r="Q2" s="2" t="inlineStr">
        <is>
          <t>Production</t>
        </is>
      </c>
      <c r="R2" s="2" t="inlineStr">
        <is>
          <t>Arts. R3–R4, R16–R17: classified installations — including plastic processing plants listed in the ICPE nomenclature — must obtain operating authorisation or file a declaration; Class II declarations must specify modes and conditions for wastewater treatment, emissions and elimination of waste and operational residues.</t>
        </is>
      </c>
      <c r="S2" s="2" t="n">
        <v>1</v>
      </c>
      <c r="T2" s="2" t="n">
        <v>1</v>
      </c>
      <c r="U2" s="2" t="inlineStr">
        <is>
          <t>Art. R22: administrative and technical surveillance and control of installations (+0.25 authority); Arts. R24–R25: criminal penalties and official reports by sworn agents (+0.25 enforcement); Arts. R20–R21: authorised sworn inspectors under Environment Minister (+0.25 monitoring); Art. R17: declaration receipt issued within two months (+0.25 monitoring).</t>
        </is>
      </c>
      <c r="V2" s="3">
        <f>AVERAGE(P2,T2)</f>
        <v/>
      </c>
      <c r="W2" s="2" t="inlineStr">
        <is>
          <t>Cross-cutting ICPE regime for plastic production/processing and waste-elimination disclosure.</t>
        </is>
      </c>
    </row>
    <row r="3">
      <c r="A3" s="2" t="inlineStr">
        <is>
          <t>Decree No. 2001-282 of 12 April 2001 implementing the Environmental Code</t>
        </is>
      </c>
      <c r="B3" s="2" t="inlineStr">
        <is>
          <t>https://faolex.fao.org/docs/pdf/sen37192.pdf</t>
        </is>
      </c>
      <c r="C3" s="2" t="n">
        <v>2001</v>
      </c>
      <c r="D3" s="2" t="inlineStr">
        <is>
          <t>Implement the Environmental Code by regulating classified installations, environmental impact assessment, water pollution, water police, air pollution and noise pollution — providing an indirect regulatory framework for plastic pollution through ICPE rules, discharges, incineration and EIA for waste-treatment projects, without plastic-specific measures.</t>
        </is>
      </c>
      <c r="E3" s="2" t="n">
        <v>0</v>
      </c>
      <c r="F3" s="2" t="inlineStr"/>
      <c r="G3" s="2" t="n">
        <v>0.75</v>
      </c>
      <c r="H3" s="2" t="inlineStr">
        <is>
          <t>Executive decree adopted by the President of the Republic on 12 April 2001, after opinion of the Council of State (13 October 2000), on the report of the Minister of the Environment, implementing Law No. 2001-01. Sub-legislative implementing regulation (regulatory part of the Code), not an act enacted by Parliament.</t>
        </is>
      </c>
      <c r="I3" s="2" t="n">
        <v>1</v>
      </c>
      <c r="J3" s="2" t="inlineStr">
        <is>
          <t>environment, industry, transport, municipalities, fisheries, water, health, urban planning, agriculture, waste management, packaging</t>
        </is>
      </c>
      <c r="K3" s="2" t="n">
        <v>1</v>
      </c>
      <c r="L3" s="2" t="inlineStr">
        <is>
          <t>production, consumption, recycling, disposal, environmental leakage</t>
        </is>
      </c>
      <c r="M3" s="2" t="n">
        <v>0.5</v>
      </c>
      <c r="N3" s="2" t="inlineStr">
        <is>
          <t>Art. R26: classified-installation rights and taxes must be paid within 45 days after assessment notice. Art. R32: surface tax payable by every classified installation. Art. R54: effluent pollution tax set according to degree of effluent pollution.</t>
        </is>
      </c>
      <c r="O3" s="3">
        <f>AVERAGE(G3,I3,K3,M3,P3)</f>
        <v/>
      </c>
      <c r="P3" s="2" t="n">
        <v>1</v>
      </c>
      <c r="Q3" s="2" t="inlineStr">
        <is>
          <t>Waste management</t>
        </is>
      </c>
      <c r="R3" s="2" t="inlineStr">
        <is>
          <t>Arts. R38–R44: environmental impact studies required prior to administrative authorisation for planned activities; EIA must assess effects of recycling and elimination of residues and waste; waste treatment and storage is an accredited consultant category; projects classified Category 1 or 2 in annexes include recycling plants and landfills.</t>
        </is>
      </c>
      <c r="S3" s="2" t="n">
        <v>1</v>
      </c>
      <c r="T3" s="2" t="n">
        <v>0.75</v>
      </c>
      <c r="U3" s="2" t="inlineStr">
        <is>
          <t>Arts. R43–R44: technical committee reviews EIA reports monthly; Minister decides within 15 days (+0.25 authority); Arts. R6–R7: 15-day public inquiry (+0.25 monitoring); Operationalised via Ministerial Orders 9468–9472 (28 November 2001) (+0.25 enforcement).</t>
        </is>
      </c>
      <c r="V3" s="3">
        <f>AVERAGE(P3,T3)</f>
        <v/>
      </c>
      <c r="W3" s="2" t="inlineStr">
        <is>
          <t>EIA framework applicable to plastic recycling plants, landfills and recovery units listed in annexes.</t>
        </is>
      </c>
    </row>
    <row r="4">
      <c r="A4" s="2" t="inlineStr">
        <is>
          <t>Decree No. 2001-282 of 12 April 2001 implementing the Environmental Code</t>
        </is>
      </c>
      <c r="B4" s="2" t="inlineStr">
        <is>
          <t>https://faolex.fao.org/docs/pdf/sen37192.pdf</t>
        </is>
      </c>
      <c r="C4" s="2" t="n">
        <v>2001</v>
      </c>
      <c r="D4" s="2" t="inlineStr">
        <is>
          <t>Implement the Environmental Code by regulating classified installations, environmental impact assessment, water pollution, water police, air pollution and noise pollution — providing an indirect regulatory framework for plastic pollution through ICPE rules, discharges, incineration and EIA for waste-treatment projects, without plastic-specific measures.</t>
        </is>
      </c>
      <c r="E4" s="2" t="n">
        <v>0</v>
      </c>
      <c r="F4" s="2" t="inlineStr"/>
      <c r="G4" s="2" t="n">
        <v>0.75</v>
      </c>
      <c r="H4" s="2" t="inlineStr">
        <is>
          <t>Executive decree adopted by the President of the Republic on 12 April 2001, after opinion of the Council of State (13 October 2000), on the report of the Minister of the Environment, implementing Law No. 2001-01. Sub-legislative implementing regulation (regulatory part of the Code), not an act enacted by Parliament.</t>
        </is>
      </c>
      <c r="I4" s="2" t="n">
        <v>1</v>
      </c>
      <c r="J4" s="2" t="inlineStr">
        <is>
          <t>environment, industry, transport, municipalities, fisheries, water, health, urban planning, agriculture, waste management, packaging</t>
        </is>
      </c>
      <c r="K4" s="2" t="n">
        <v>1</v>
      </c>
      <c r="L4" s="2" t="inlineStr">
        <is>
          <t>production, consumption, recycling, disposal, environmental leakage</t>
        </is>
      </c>
      <c r="M4" s="2" t="n">
        <v>0.5</v>
      </c>
      <c r="N4" s="2" t="inlineStr">
        <is>
          <t>Art. R26: classified-installation rights and taxes must be paid within 45 days after assessment notice. Art. R32: surface tax payable by every classified installation. Art. R54: effluent pollution tax set according to degree of effluent pollution.</t>
        </is>
      </c>
      <c r="O4" s="3">
        <f>AVERAGE(G4,I4,K4,M4,P4)</f>
        <v/>
      </c>
      <c r="P4" s="2" t="n">
        <v>1</v>
      </c>
      <c r="Q4" s="2" t="inlineStr">
        <is>
          <t>Environmental leakage</t>
        </is>
      </c>
      <c r="R4" s="2" t="inlineStr">
        <is>
          <t>Arts. R49, R51 and R56: discharged effluent must not deteriorate the receiving environment; effluent discharge authorisation conditional on EIA results and compliance with physical, chemical, biological and bacteriological standards; all discharges, flows, deposits or acts likely to pollute continental or marine waters — including industrial waste from the coast — are prohibited under water police.</t>
        </is>
      </c>
      <c r="S4" s="2" t="n">
        <v>1</v>
      </c>
      <c r="T4" s="2" t="n">
        <v>0.75</v>
      </c>
      <c r="U4" s="2" t="inlineStr">
        <is>
          <t>Art. R50: impact study required for discharges into natural receiving environments (+0.25 authority); Arts. R59–R66: judicial police officers and sworn agents may record violations (+0.25 monitoring); Art. R69: vessel detention for pollution offences (+0.25 enforcement).</t>
        </is>
      </c>
      <c r="V4" s="3">
        <f>AVERAGE(P4,T4)</f>
        <v/>
      </c>
      <c r="W4" s="2" t="inlineStr">
        <is>
          <t>Direct prohibition applicable to plastic waste discharges into waters; complements Art. L41 of the Code.</t>
        </is>
      </c>
    </row>
    <row r="5">
      <c r="A5" s="2" t="inlineStr">
        <is>
          <t>Decree No. 2001-282 of 12 April 2001 implementing the Environmental Code</t>
        </is>
      </c>
      <c r="B5" s="2" t="inlineStr">
        <is>
          <t>https://faolex.fao.org/docs/pdf/sen37192.pdf</t>
        </is>
      </c>
      <c r="C5" s="2" t="n">
        <v>2001</v>
      </c>
      <c r="D5" s="2" t="inlineStr">
        <is>
          <t>Implement the Environmental Code by regulating classified installations, environmental impact assessment, water pollution, water police, air pollution and noise pollution — providing an indirect regulatory framework for plastic pollution through ICPE rules, discharges, incineration and EIA for waste-treatment projects, without plastic-specific measures.</t>
        </is>
      </c>
      <c r="E5" s="2" t="n">
        <v>0</v>
      </c>
      <c r="F5" s="2" t="inlineStr"/>
      <c r="G5" s="2" t="n">
        <v>0.75</v>
      </c>
      <c r="H5" s="2" t="inlineStr">
        <is>
          <t>Executive decree adopted by the President of the Republic on 12 April 2001, after opinion of the Council of State (13 October 2000), on the report of the Minister of the Environment, implementing Law No. 2001-01. Sub-legislative implementing regulation (regulatory part of the Code), not an act enacted by Parliament.</t>
        </is>
      </c>
      <c r="I5" s="2" t="n">
        <v>1</v>
      </c>
      <c r="J5" s="2" t="inlineStr">
        <is>
          <t>environment, industry, transport, municipalities, fisheries, water, health, urban planning, agriculture, waste management, packaging</t>
        </is>
      </c>
      <c r="K5" s="2" t="n">
        <v>1</v>
      </c>
      <c r="L5" s="2" t="inlineStr">
        <is>
          <t>production, consumption, recycling, disposal, environmental leakage</t>
        </is>
      </c>
      <c r="M5" s="2" t="n">
        <v>0.5</v>
      </c>
      <c r="N5" s="2" t="inlineStr">
        <is>
          <t>Art. R26: classified-installation rights and taxes must be paid within 45 days after assessment notice. Art. R32: surface tax payable by every classified installation. Art. R54: effluent pollution tax set according to degree of effluent pollution.</t>
        </is>
      </c>
      <c r="O5" s="3">
        <f>AVERAGE(G5,I5,K5,M5,P5)</f>
        <v/>
      </c>
      <c r="P5" s="2" t="n">
        <v>0.8</v>
      </c>
      <c r="Q5" s="2" t="inlineStr">
        <is>
          <t>End of life</t>
        </is>
      </c>
      <c r="R5" s="2" t="inlineStr">
        <is>
          <t>Arts. R75–R78: fixed incineration, combustion or heating installations must meet technical specifications for equipment placed on the Senegalese market; operating conditions may be set by ministerial order; installations subject to periodic inspection by an accredited expert or body.</t>
        </is>
      </c>
      <c r="S5" s="2" t="n">
        <v>0</v>
      </c>
      <c r="T5" s="2" t="n">
        <v>0.5</v>
      </c>
      <c r="U5" s="2" t="inlineStr">
        <is>
          <t>Art. R76–R77: ministerial orders may set technical specifications and operating conditions (+0.25 authority); Art. R78: periodic inspection framework explicit (+0.25 monitoring). Detailed mandatory standards deferred to subordinate orders — in_force=0 for standards themselves.</t>
        </is>
      </c>
      <c r="V5" s="3">
        <f>AVERAGE(P5,T5)</f>
        <v/>
      </c>
      <c r="W5" s="2" t="inlineStr">
        <is>
          <t>Incineration framework relevant to plastic waste end-of-life; detailed technical norms via arrêtés.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2026-07-23T10:30:37Z</dcterms:created>
  <dcterms:modified xmlns:dcterms="http://purl.org/dc/terms/" xmlns:xsi="http://www.w3.org/2001/XMLSchema-instance" xsi:type="dcterms:W3CDTF">2026-07-23T10:30:37Z</dcterms:modified>
</cp:coreProperties>
</file>