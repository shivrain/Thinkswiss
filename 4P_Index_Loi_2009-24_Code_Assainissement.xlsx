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Law No. 2009-24 of 8 July 2009 establishing the Sanitation Code</t>
        </is>
      </c>
      <c r="B2" s="2" t="inlineStr">
        <is>
          <t>https://www.sante.gouv.sn/sites/default/files/3.%20Code_assainissement.pdf</t>
        </is>
      </c>
      <c r="C2" s="2" t="n">
        <v>2009</v>
      </c>
      <c r="D2"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2" s="2" t="n">
        <v>0</v>
      </c>
      <c r="F2" s="2" t="inlineStr"/>
      <c r="G2" s="2" t="n">
        <v>1</v>
      </c>
      <c r="H2" s="2" t="inlineStr">
        <is>
          <t>Sanitation Code adopted by the National Assembly on 17 June 2009 and by the Senate on 29 June 2009, promulgated by the President of the Republic on 8 July 2009 as Law No. 2009-24. Parliamentary legislation (Code), not executive implementing regulation (≠0.75).</t>
        </is>
      </c>
      <c r="I2" s="2" t="n">
        <v>1</v>
      </c>
      <c r="J2" s="2" t="inlineStr">
        <is>
          <t>sanitation, urban planning, local government, environment, health, industry</t>
        </is>
      </c>
      <c r="K2" s="2" t="n">
        <v>0.75</v>
      </c>
      <c r="L2" s="2" t="inlineStr">
        <is>
          <t>disposal, environmental leakage</t>
        </is>
      </c>
      <c r="M2" s="2" t="n">
        <v>0.5</v>
      </c>
      <c r="N2" s="2" t="inlineStr">
        <is>
          <t>Art. L 60: industrial effluent fee calculated on discharged volume and effluent quality; Art. L 73: taxes and fees for discharge into natural environment; Art. L 88: septage fee per tonne or cubic metre at managed deposit sites.</t>
        </is>
      </c>
      <c r="O2" s="3">
        <f>AVERAGE(G2,I2,K2,M2,P2)</f>
        <v/>
      </c>
      <c r="P2" s="2" t="n">
        <v>1</v>
      </c>
      <c r="Q2" s="2" t="inlineStr">
        <is>
          <t>Environmental leakage</t>
        </is>
      </c>
      <c r="R2" s="2" t="inlineStr">
        <is>
          <t>Art. L 29: it is strictly prohibited to discharge into public wastewater collectors household waste and plastic waste, along with hydrocarbons, used oils, radioactive substances, paint residues, septic tank contents, sludge, sand, rubble and other solids or harmful substances that could compromise sewer or treatment-plant operation.</t>
        </is>
      </c>
      <c r="S2" s="2" t="n">
        <v>1</v>
      </c>
      <c r="T2" s="2" t="n">
        <v>0.75</v>
      </c>
      <c r="U2" s="2" t="inlineStr">
        <is>
          <t>Art. L 30: prohibited-discharge list is not exhaustive (+0.25 monitoring); sworn sanitation agents may take control samples at user premises (+0.25 authority); Arts. L 104–L 108: penal sanctions — 2 months to 2 years imprisonment and FCFA 20,000–2,000,000 fines (+0.25 enforcement).</t>
        </is>
      </c>
      <c r="V2" s="3">
        <f>AVERAGE(P2,T2)</f>
        <v/>
      </c>
      <c r="W2" s="2" t="inlineStr">
        <is>
          <t>Explicit mention of plastic waste — direct prohibition on discharge into public sewers.</t>
        </is>
      </c>
    </row>
    <row r="3">
      <c r="A3" s="2" t="inlineStr">
        <is>
          <t>Law No. 2009-24 of 8 July 2009 establishing the Sanitation Code</t>
        </is>
      </c>
      <c r="B3" s="2" t="inlineStr">
        <is>
          <t>https://www.sante.gouv.sn/sites/default/files/3.%20Code_assainissement.pdf</t>
        </is>
      </c>
      <c r="C3" s="2" t="n">
        <v>2009</v>
      </c>
      <c r="D3"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3" s="2" t="n">
        <v>0</v>
      </c>
      <c r="F3" s="2" t="inlineStr"/>
      <c r="G3" s="2" t="n">
        <v>1</v>
      </c>
      <c r="H3" s="2" t="inlineStr">
        <is>
          <t>Sanitation Code adopted by the National Assembly on 17 June 2009 and by the Senate on 29 June 2009, promulgated by the President of the Republic on 8 July 2009 as Law No. 2009-24. Parliamentary legislation (Code), not executive implementing regulation (≠0.75).</t>
        </is>
      </c>
      <c r="I3" s="2" t="n">
        <v>1</v>
      </c>
      <c r="J3" s="2" t="inlineStr">
        <is>
          <t>sanitation, urban planning, local government, environment, health, industry</t>
        </is>
      </c>
      <c r="K3" s="2" t="n">
        <v>0.75</v>
      </c>
      <c r="L3" s="2" t="inlineStr">
        <is>
          <t>disposal, environmental leakage</t>
        </is>
      </c>
      <c r="M3" s="2" t="n">
        <v>0.5</v>
      </c>
      <c r="N3" s="2" t="inlineStr">
        <is>
          <t>Art. L 60: industrial effluent fee calculated on discharged volume and effluent quality; Art. L 73: taxes and fees for discharge into natural environment; Art. L 88: septage fee per tonne or cubic metre at managed deposit sites.</t>
        </is>
      </c>
      <c r="O3" s="3">
        <f>AVERAGE(G3,I3,K3,M3,P3)</f>
        <v/>
      </c>
      <c r="P3" s="2" t="n">
        <v>1</v>
      </c>
      <c r="Q3" s="2" t="inlineStr">
        <is>
          <t>End of life</t>
        </is>
      </c>
      <c r="R3" s="2" t="inlineStr">
        <is>
          <t>Arts. L 79–L 80: discharge of septic tank sludge is prohibited except in sealed tanks, treatment plants or authorised deposit sites; deposit sites may not accept household waste (even after prior shredding), household refuse (even after prior shredding), industrial waste or healthcare activity waste.</t>
        </is>
      </c>
      <c r="S3" s="2" t="n">
        <v>1</v>
      </c>
      <c r="T3" s="2" t="n">
        <v>0.75</v>
      </c>
      <c r="U3" s="2" t="inlineStr">
        <is>
          <t>Art. L 79: septage transport only by trucks approved by the Sanitation Minister (+0.25 authority); Art. L 82: emptying companies approved by sanitation service (+0.25 monitoring); Arts. L 104–L 108: penal sanctions for violations (+0.25 enforcement).</t>
        </is>
      </c>
      <c r="V3" s="3">
        <f>AVERAGE(P3,T3)</f>
        <v/>
      </c>
      <c r="W3" s="2" t="inlineStr">
        <is>
          <t>Prohibits household/plastic waste (even shredded) in sludge deposit sites; complements Art. L 29.</t>
        </is>
      </c>
    </row>
    <row r="4">
      <c r="A4" s="2" t="inlineStr">
        <is>
          <t>Law No. 2009-24 of 8 July 2009 establishing the Sanitation Code</t>
        </is>
      </c>
      <c r="B4" s="2" t="inlineStr">
        <is>
          <t>https://www.sante.gouv.sn/sites/default/files/3.%20Code_assainissement.pdf</t>
        </is>
      </c>
      <c r="C4" s="2" t="n">
        <v>2009</v>
      </c>
      <c r="D4"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4" s="2" t="n">
        <v>0</v>
      </c>
      <c r="F4" s="2" t="inlineStr"/>
      <c r="G4" s="2" t="n">
        <v>1</v>
      </c>
      <c r="H4" s="2" t="inlineStr">
        <is>
          <t>Sanitation Code adopted by the National Assembly on 17 June 2009 and by the Senate on 29 June 2009, promulgated by the President of the Republic on 8 July 2009 as Law No. 2009-24. Parliamentary legislation (Code), not executive implementing regulation (≠0.75).</t>
        </is>
      </c>
      <c r="I4" s="2" t="n">
        <v>1</v>
      </c>
      <c r="J4" s="2" t="inlineStr">
        <is>
          <t>sanitation, urban planning, local government, environment, health, industry</t>
        </is>
      </c>
      <c r="K4" s="2" t="n">
        <v>0.75</v>
      </c>
      <c r="L4" s="2" t="inlineStr">
        <is>
          <t>disposal, environmental leakage</t>
        </is>
      </c>
      <c r="M4" s="2" t="n">
        <v>0.5</v>
      </c>
      <c r="N4" s="2" t="inlineStr">
        <is>
          <t>Art. L 60: industrial effluent fee calculated on discharged volume and effluent quality; Art. L 73: taxes and fees for discharge into natural environment; Art. L 88: septage fee per tonne or cubic metre at managed deposit sites.</t>
        </is>
      </c>
      <c r="O4" s="3">
        <f>AVERAGE(G4,I4,K4,M4,P4)</f>
        <v/>
      </c>
      <c r="P4" s="2" t="n">
        <v>1</v>
      </c>
      <c r="Q4" s="2" t="inlineStr">
        <is>
          <t>Environmental leakage</t>
        </is>
      </c>
      <c r="R4" s="2" t="inlineStr">
        <is>
          <t>Art. L 13: discharge of untreated domestic effluent, excreta and septage into gutters, open stormwater channels, soil surfaces, rivers, lakes, ponds and the sea is prohibited throughout the national territory.</t>
        </is>
      </c>
      <c r="S4" s="2" t="n">
        <v>1</v>
      </c>
      <c r="T4" s="2" t="n">
        <v>0.75</v>
      </c>
      <c r="U4" s="2" t="inlineStr">
        <is>
          <t>Art. L 3: all liquid waste discharges into the natural environment require prior depollution (+0.25 authority); Art. L 5: pollution sources subject to prior authorisation and administrative inquiry (+0.25 monitoring); Arts. L 98–L 103: sworn agents from sanitation, health and environment ministries may inspect (+0.25 enforcement).</t>
        </is>
      </c>
      <c r="V4" s="3">
        <f>AVERAGE(P4,T4)</f>
        <v/>
      </c>
      <c r="W4" s="2" t="inlineStr">
        <is>
          <t>Limits leakage of solid/plastic waste carried by untreated wastewater into surface waters.</t>
        </is>
      </c>
    </row>
    <row r="5">
      <c r="A5" s="2" t="inlineStr">
        <is>
          <t>Law No. 2009-24 of 8 July 2009 establishing the Sanitation Code</t>
        </is>
      </c>
      <c r="B5" s="2" t="inlineStr">
        <is>
          <t>https://www.sante.gouv.sn/sites/default/files/3.%20Code_assainissement.pdf</t>
        </is>
      </c>
      <c r="C5" s="2" t="n">
        <v>2009</v>
      </c>
      <c r="D5"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5" s="2" t="n">
        <v>0</v>
      </c>
      <c r="F5" s="2" t="inlineStr"/>
      <c r="G5" s="2" t="n">
        <v>1</v>
      </c>
      <c r="H5" s="2" t="inlineStr">
        <is>
          <t>Sanitation Code adopted by the National Assembly on 17 June 2009 and by the Senate on 29 June 2009, promulgated by the President of the Republic on 8 July 2009 as Law No. 2009-24. Parliamentary legislation (Code), not executive implementing regulation (≠0.75).</t>
        </is>
      </c>
      <c r="I5" s="2" t="n">
        <v>1</v>
      </c>
      <c r="J5" s="2" t="inlineStr">
        <is>
          <t>sanitation, urban planning, local government, environment, health, industry</t>
        </is>
      </c>
      <c r="K5" s="2" t="n">
        <v>0.75</v>
      </c>
      <c r="L5" s="2" t="inlineStr">
        <is>
          <t>disposal, environmental leakage</t>
        </is>
      </c>
      <c r="M5" s="2" t="n">
        <v>0.5</v>
      </c>
      <c r="N5" s="2" t="inlineStr">
        <is>
          <t>Art. L 60: industrial effluent fee calculated on discharged volume and effluent quality; Art. L 73: taxes and fees for discharge into natural environment; Art. L 88: septage fee per tonne or cubic metre at managed deposit sites.</t>
        </is>
      </c>
      <c r="O5" s="3">
        <f>AVERAGE(G5,I5,K5,M5,P5)</f>
        <v/>
      </c>
      <c r="P5" s="2" t="n">
        <v>0.8</v>
      </c>
      <c r="Q5" s="2" t="inlineStr">
        <is>
          <t>Waste management</t>
        </is>
      </c>
      <c r="R5" s="2" t="inlineStr">
        <is>
          <t>Arts. L 39–L 46: every urbanised public or private place must have a stormwater collection and evacuation system preventing stagnation; public stormwater works must receive only rainwater (except unitary networks); private land within 30 m of a public storm network must connect.</t>
        </is>
      </c>
      <c r="S5" s="2" t="n">
        <v>1</v>
      </c>
      <c r="T5" s="2" t="n">
        <v>0.5</v>
      </c>
      <c r="U5" s="2" t="inlineStr">
        <is>
          <t>Art. L 50: natural runoff servitude; prohibited to discharge polluted stormwater to lower plots (+0.25 authority); Art. L 28: storm drains/gutters prohibited on separate domestic wastewater systems (+0.25 monitoring). No article-specific plastic-waste penalty.</t>
        </is>
      </c>
      <c r="V5" s="3">
        <f>AVERAGE(P5,T5)</f>
        <v/>
      </c>
      <c r="W5" s="2" t="inlineStr">
        <is>
          <t>Stormwater infrastructure rules reduce transport of solid/plastic litter to gutters and receiving waters.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2026-07-23T10:30:38Z</dcterms:created>
  <dcterms:modified xmlns:dcterms="http://purl.org/dc/terms/" xmlns:xsi="http://www.w3.org/2001/XMLSchema-instance" xsi:type="dcterms:W3CDTF">2026-07-23T10:30:38Z</dcterms:modified>
</cp:coreProperties>
</file>