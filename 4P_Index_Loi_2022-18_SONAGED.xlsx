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2" s="2" t="inlineStr">
        <is>
          <t>https://www.fao.org/faolex/results/details/en/c/LEX-FAOC216236</t>
        </is>
      </c>
      <c r="C2" s="2" t="n">
        <v>2022</v>
      </c>
      <c r="D2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2" s="2" t="n">
        <v>0.75</v>
      </c>
      <c r="F2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2" s="2" t="n">
        <v>1</v>
      </c>
      <c r="H2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2" s="2" t="n">
        <v>1</v>
      </c>
      <c r="J2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2" s="2" t="n">
        <v>0.75</v>
      </c>
      <c r="L2" s="2" t="inlineStr">
        <is>
          <t>collecte, transport, traitement, valorisation, élimination, gouvernance / collection, transport, treatment, valorisation, disposal, governance</t>
        </is>
      </c>
      <c r="M2" s="2" t="n">
        <v>0.5</v>
      </c>
      <c r="N2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2" s="3">
        <f>AVERAGE(G2,I2,K2,M2,P2)</f>
        <v/>
      </c>
      <c r="P2" s="2" t="n">
        <v>1</v>
      </c>
      <c r="Q2" s="2" t="inlineStr">
        <is>
          <t>Governance</t>
        </is>
      </c>
      <c r="R2" s="2" t="inlineStr">
        <is>
          <t>Art. 1: 'Il est autorisé la création d une société anonyme dénommée Société nationale de Gestion intégrée des Déchets (SONAGED S.A.)' / 'Creation of a public limited company named National Integrated Waste Management Company (SONAGED S.A.) is authorised'; technical supervision by Public Hygiene Minister, financial supervision by Finance Minister.</t>
        </is>
      </c>
      <c r="S2" s="2" t="n">
        <v>1</v>
      </c>
      <c r="T2" s="2" t="n">
        <v>0.75</v>
      </c>
      <c r="U2" s="2" t="inlineStr">
        <is>
          <t>Exposé des motifs: replaces institutional instability (7 successive structures since 1990s); published JO 4 June 2022.</t>
        </is>
      </c>
      <c r="V2" s="3">
        <f>AVERAGE(P2,T2)</f>
        <v/>
      </c>
      <c r="W2" s="2" t="inlineStr">
        <is>
          <t>Création société d'État — cadre institutionnel national déchets solides. / State-company creation — national solid-waste institutional framework.</t>
        </is>
      </c>
    </row>
    <row r="3">
      <c r="A3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3" s="2" t="inlineStr">
        <is>
          <t>https://www.fao.org/faolex/results/details/en/c/LEX-FAOC216236</t>
        </is>
      </c>
      <c r="C3" s="2" t="n">
        <v>2022</v>
      </c>
      <c r="D3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3" s="2" t="n">
        <v>0.75</v>
      </c>
      <c r="F3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3" s="2" t="n">
        <v>1</v>
      </c>
      <c r="H3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3" s="2" t="n">
        <v>1</v>
      </c>
      <c r="J3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3" s="2" t="n">
        <v>0.75</v>
      </c>
      <c r="L3" s="2" t="inlineStr">
        <is>
          <t>collecte, transport, traitement, valorisation, élimination, gouvernance / collection, transport, treatment, valorisation, disposal, governance</t>
        </is>
      </c>
      <c r="M3" s="2" t="n">
        <v>0.5</v>
      </c>
      <c r="N3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3" s="3">
        <f>AVERAGE(G3,I3,K3,M3,P3)</f>
        <v/>
      </c>
      <c r="P3" s="2" t="n">
        <v>1</v>
      </c>
      <c r="Q3" s="2" t="inlineStr">
        <is>
          <t>Governance</t>
        </is>
      </c>
      <c r="R3" s="2" t="inlineStr">
        <is>
          <t>Art. 2: SONAGED mission — 'assurer la coordination de la gestion intégrée des déchets solides sur l ensemble du territoire national' / 'ensure coordination of integrated solid-waste management across national territory'.</t>
        </is>
      </c>
      <c r="S3" s="2" t="n">
        <v>1</v>
      </c>
      <c r="T3" s="2" t="n">
        <v>0.75</v>
      </c>
      <c r="U3" s="2" t="inlineStr">
        <is>
          <t>Autonomous entity with State and other public bodies as shareholders; replaces UCG coordination role.</t>
        </is>
      </c>
      <c r="V3" s="3">
        <f>AVERAGE(P3,T3)</f>
        <v/>
      </c>
      <c r="W3" s="2" t="inlineStr">
        <is>
          <t>Mission centrale de coordination — pilier de gouvernance post-UCG. / Central coordination mission — governance pillar post-UCG.</t>
        </is>
      </c>
    </row>
    <row r="4">
      <c r="A4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4" s="2" t="inlineStr">
        <is>
          <t>https://www.fao.org/faolex/results/details/en/c/LEX-FAOC216236</t>
        </is>
      </c>
      <c r="C4" s="2" t="n">
        <v>2022</v>
      </c>
      <c r="D4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4" s="2" t="n">
        <v>0.75</v>
      </c>
      <c r="F4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4" s="2" t="n">
        <v>1</v>
      </c>
      <c r="H4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4" s="2" t="n">
        <v>1</v>
      </c>
      <c r="J4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4" s="2" t="n">
        <v>0.75</v>
      </c>
      <c r="L4" s="2" t="inlineStr">
        <is>
          <t>collecte, transport, traitement, valorisation, élimination, gouvernance / collection, transport, treatment, valorisation, disposal, governance</t>
        </is>
      </c>
      <c r="M4" s="2" t="n">
        <v>0.5</v>
      </c>
      <c r="N4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4" s="3">
        <f>AVERAGE(G4,I4,K4,M4,P4)</f>
        <v/>
      </c>
      <c r="P4" s="2" t="n">
        <v>1</v>
      </c>
      <c r="Q4" s="2" t="inlineStr">
        <is>
          <t>Collection</t>
        </is>
      </c>
      <c r="R4" s="2" t="inlineStr">
        <is>
          <t>Art. 2: SONAGED notably charged to 'assurer la collecte, le transport, la mise en décharge, le traitement et la valorisation des déchets solides sur l ensemble du territoire national' / 'ensure collection, transport, landfilling, treatment and valorisation of solid waste across national territory'.</t>
        </is>
      </c>
      <c r="S4" s="2" t="n">
        <v>1</v>
      </c>
      <c r="T4" s="2" t="n">
        <v>0.75</v>
      </c>
      <c r="U4" s="2" t="inlineStr">
        <is>
          <t>Covers full municipal solid-waste chain including plastics as part of solid-waste stream; nationwide scope.</t>
        </is>
      </c>
      <c r="V4" s="3">
        <f>AVERAGE(P4,T4)</f>
        <v/>
      </c>
      <c r="W4" s="2" t="inlineStr">
        <is>
          <t>Chaîne complète déchets solides — pertinence directe pour plastiques dans les ordures ménagères. / Full solid-waste chain — direct relevance for plastics in household waste.</t>
        </is>
      </c>
    </row>
    <row r="5">
      <c r="A5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5" s="2" t="inlineStr">
        <is>
          <t>https://www.fao.org/faolex/results/details/en/c/LEX-FAOC216236</t>
        </is>
      </c>
      <c r="C5" s="2" t="n">
        <v>2022</v>
      </c>
      <c r="D5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5" s="2" t="n">
        <v>0.75</v>
      </c>
      <c r="F5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5" s="2" t="n">
        <v>1</v>
      </c>
      <c r="H5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5" s="2" t="n">
        <v>1</v>
      </c>
      <c r="J5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5" s="2" t="n">
        <v>0.75</v>
      </c>
      <c r="L5" s="2" t="inlineStr">
        <is>
          <t>collecte, transport, traitement, valorisation, élimination, gouvernance / collection, transport, treatment, valorisation, disposal, governance</t>
        </is>
      </c>
      <c r="M5" s="2" t="n">
        <v>0.5</v>
      </c>
      <c r="N5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5" s="3">
        <f>AVERAGE(G5,I5,K5,M5,P5)</f>
        <v/>
      </c>
      <c r="P5" s="2" t="n">
        <v>0.75</v>
      </c>
      <c r="Q5" s="2" t="inlineStr">
        <is>
          <t>Valorisation</t>
        </is>
      </c>
      <c r="R5" s="2" t="inlineStr">
        <is>
          <t>Art. 2: manage 'équipements et infrastructures de traitement et de valorisation des déchets' / 'waste treatment and valorisation equipment and infrastructure'.</t>
        </is>
      </c>
      <c r="S5" s="2" t="n">
        <v>1</v>
      </c>
      <c r="T5" s="2" t="n">
        <v>0.75</v>
      </c>
      <c r="U5" s="2" t="inlineStr">
        <is>
          <t>Inherits PROMOGED infrastructure (sorting centres, landfills, CCV) per Art. 5 transfer.</t>
        </is>
      </c>
      <c r="V5" s="3">
        <f>AVERAGE(P5,T5)</f>
        <v/>
      </c>
      <c r="W5" s="2" t="inlineStr">
        <is>
          <t>Gestion des infrastructures de valorisation — tri/recyclage incluant plastiques. / Valorisation infrastructure management — sorting/recycling including plastics.</t>
        </is>
      </c>
    </row>
    <row r="6">
      <c r="A6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6" s="2" t="inlineStr">
        <is>
          <t>https://www.fao.org/faolex/results/details/en/c/LEX-FAOC216236</t>
        </is>
      </c>
      <c r="C6" s="2" t="n">
        <v>2022</v>
      </c>
      <c r="D6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6" s="2" t="n">
        <v>0.75</v>
      </c>
      <c r="F6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6" s="2" t="n">
        <v>1</v>
      </c>
      <c r="H6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6" s="2" t="n">
        <v>1</v>
      </c>
      <c r="J6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6" s="2" t="n">
        <v>0.75</v>
      </c>
      <c r="L6" s="2" t="inlineStr">
        <is>
          <t>collecte, transport, traitement, valorisation, élimination, gouvernance / collection, transport, treatment, valorisation, disposal, governance</t>
        </is>
      </c>
      <c r="M6" s="2" t="n">
        <v>0.5</v>
      </c>
      <c r="N6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6" s="3">
        <f>AVERAGE(G6,I6,K6,M6,P6)</f>
        <v/>
      </c>
      <c r="P6" s="2" t="n">
        <v>0.75</v>
      </c>
      <c r="Q6" s="2" t="inlineStr">
        <is>
          <t>Governance</t>
        </is>
      </c>
      <c r="R6" s="2" t="inlineStr">
        <is>
          <t>Art. 2: exercise 'son autorité sur le secteur en qualité de régulateur' / 'authority over the sector as regulator' and contribute to visibility of State and partner actions in waste-sector development.</t>
        </is>
      </c>
      <c r="S6" s="2" t="n">
        <v>1</v>
      </c>
      <c r="T6" s="2" t="n">
        <v>0.5</v>
      </c>
      <c r="U6" s="2" t="inlineStr">
        <is>
          <t>Also proposes governance reforms (institutional, regulatory, financial) to improve sector performance.</t>
        </is>
      </c>
      <c r="V6" s="3">
        <f>AVERAGE(P6,T6)</f>
        <v/>
      </c>
      <c r="W6" s="2" t="inlineStr">
        <is>
          <t>Rôle régulateur sectoriel — cadre pour politiques déchets/plastiques. / Sector regulator role — framework for waste/plastics policies.</t>
        </is>
      </c>
    </row>
    <row r="7">
      <c r="A7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7" s="2" t="inlineStr">
        <is>
          <t>https://www.fao.org/faolex/results/details/en/c/LEX-FAOC216236</t>
        </is>
      </c>
      <c r="C7" s="2" t="n">
        <v>2022</v>
      </c>
      <c r="D7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7" s="2" t="n">
        <v>0.75</v>
      </c>
      <c r="F7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7" s="2" t="n">
        <v>1</v>
      </c>
      <c r="H7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7" s="2" t="n">
        <v>1</v>
      </c>
      <c r="J7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7" s="2" t="n">
        <v>0.75</v>
      </c>
      <c r="L7" s="2" t="inlineStr">
        <is>
          <t>collecte, transport, traitement, valorisation, élimination, gouvernance / collection, transport, treatment, valorisation, disposal, governance</t>
        </is>
      </c>
      <c r="M7" s="2" t="n">
        <v>0.5</v>
      </c>
      <c r="N7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7" s="3">
        <f>AVERAGE(G7,I7,K7,M7,P7)</f>
        <v/>
      </c>
      <c r="P7" s="2" t="n">
        <v>0.75</v>
      </c>
      <c r="Q7" s="2" t="inlineStr">
        <is>
          <t>Governance</t>
        </is>
      </c>
      <c r="R7" s="2" t="inlineStr">
        <is>
          <t>Art. 2: 'améliorer la gestion des déchets solides sur toute la chaîne de valeur et de promouvoir une gestion intégrée dans toutes les communes en favorisant l intercommunalité' / 'improve solid-waste management along the entire value chain and promote integrated management in all communes by fostering inter-municipal cooperation'.</t>
        </is>
      </c>
      <c r="S7" s="2" t="n">
        <v>1</v>
      </c>
      <c r="T7" s="2" t="n">
        <v>0.75</v>
      </c>
      <c r="U7" s="2" t="inlineStr">
        <is>
          <t>Builds on CGCT commune waste competences and PROMOGED inter-municipal coordination.</t>
        </is>
      </c>
      <c r="V7" s="3">
        <f>AVERAGE(P7,T7)</f>
        <v/>
      </c>
      <c r="W7" s="2" t="inlineStr">
        <is>
          <t>Chaîne de valeur et intercommunalité — coordination locale des filières déchets. / Value chain and inter-municipal cooperation — local waste-stream coordination.</t>
        </is>
      </c>
    </row>
    <row r="8">
      <c r="A8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8" s="2" t="inlineStr">
        <is>
          <t>https://www.fao.org/faolex/results/details/en/c/LEX-FAOC216236</t>
        </is>
      </c>
      <c r="C8" s="2" t="n">
        <v>2022</v>
      </c>
      <c r="D8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8" s="2" t="n">
        <v>0.75</v>
      </c>
      <c r="F8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8" s="2" t="n">
        <v>1</v>
      </c>
      <c r="H8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8" s="2" t="n">
        <v>1</v>
      </c>
      <c r="J8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8" s="2" t="n">
        <v>0.75</v>
      </c>
      <c r="L8" s="2" t="inlineStr">
        <is>
          <t>collecte, transport, traitement, valorisation, élimination, gouvernance / collection, transport, treatment, valorisation, disposal, governance</t>
        </is>
      </c>
      <c r="M8" s="2" t="n">
        <v>0.5</v>
      </c>
      <c r="N8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8" s="3">
        <f>AVERAGE(G8,I8,K8,M8,P8)</f>
        <v/>
      </c>
      <c r="P8" s="2" t="n">
        <v>0.75</v>
      </c>
      <c r="Q8" s="2" t="inlineStr">
        <is>
          <t>Valorisation</t>
        </is>
      </c>
      <c r="R8" s="2" t="inlineStr">
        <is>
          <t>Art. 2: 'développer une économie circulaire et valoriser les déchets en tenant compte de la dimension socio-économique' / 'develop a circular economy and valorise waste taking account of socio-economic dimension'.</t>
        </is>
      </c>
      <c r="S8" s="2" t="n">
        <v>1</v>
      </c>
      <c r="T8" s="2" t="n">
        <v>0.5</v>
      </c>
      <c r="U8" s="2" t="inlineStr">
        <is>
          <t>Aligns with Loi 2020-04 circular-economy orientation and PROMOGED valorisation centres.</t>
        </is>
      </c>
      <c r="V8" s="3">
        <f>AVERAGE(P8,T8)</f>
        <v/>
      </c>
      <c r="W8" s="2" t="inlineStr">
        <is>
          <t>Économie circulaire explicite — valorisation des déchets plastiques dans le flux solide. / Explicit circular economy — valorisation of plastic waste in solid stream.</t>
        </is>
      </c>
    </row>
    <row r="9">
      <c r="A9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9" s="2" t="inlineStr">
        <is>
          <t>https://www.fao.org/faolex/results/details/en/c/LEX-FAOC216236</t>
        </is>
      </c>
      <c r="C9" s="2" t="n">
        <v>2022</v>
      </c>
      <c r="D9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9" s="2" t="n">
        <v>0.75</v>
      </c>
      <c r="F9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9" s="2" t="n">
        <v>1</v>
      </c>
      <c r="H9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9" s="2" t="n">
        <v>1</v>
      </c>
      <c r="J9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9" s="2" t="n">
        <v>0.75</v>
      </c>
      <c r="L9" s="2" t="inlineStr">
        <is>
          <t>collecte, transport, traitement, valorisation, élimination, gouvernance / collection, transport, treatment, valorisation, disposal, governance</t>
        </is>
      </c>
      <c r="M9" s="2" t="n">
        <v>0.5</v>
      </c>
      <c r="N9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9" s="3">
        <f>AVERAGE(G9,I9,K9,M9,P9)</f>
        <v/>
      </c>
      <c r="P9" s="2" t="n">
        <v>0.75</v>
      </c>
      <c r="Q9" s="2" t="inlineStr">
        <is>
          <t>Governance</t>
        </is>
      </c>
      <c r="R9" s="2" t="inlineStr">
        <is>
          <t>Art. 2: supervise 'programmes et projets de l Etat en matière de gestion des déchets solides' / 'State programmes and projects on solid-waste management'; create contextualised sustainable management systems and maximise private-sector involvement.</t>
        </is>
      </c>
      <c r="S9" s="2" t="n">
        <v>1</v>
      </c>
      <c r="T9" s="2" t="n">
        <v>0.75</v>
      </c>
      <c r="U9" s="2" t="inlineStr">
        <is>
          <t>Art. 5: UCG and all public integrated solid-waste programmes transferred to SONAGED (incl. PROMOGED, Zero Waste programme).</t>
        </is>
      </c>
      <c r="V9" s="3">
        <f>AVERAGE(P9,T9)</f>
        <v/>
      </c>
      <c r="W9" s="2" t="inlineStr">
        <is>
          <t>Intégration PROMOGED/UCG — continuité opérationnelle nationale. / PROMOGED/UCG integration — national operational continuity.</t>
        </is>
      </c>
    </row>
    <row r="10">
      <c r="A10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10" s="2" t="inlineStr">
        <is>
          <t>https://www.fao.org/faolex/results/details/en/c/LEX-FAOC216236</t>
        </is>
      </c>
      <c r="C10" s="2" t="n">
        <v>2022</v>
      </c>
      <c r="D10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10" s="2" t="n">
        <v>0.75</v>
      </c>
      <c r="F10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10" s="2" t="n">
        <v>1</v>
      </c>
      <c r="H10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10" s="2" t="n">
        <v>1</v>
      </c>
      <c r="J10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10" s="2" t="n">
        <v>0.75</v>
      </c>
      <c r="L10" s="2" t="inlineStr">
        <is>
          <t>collecte, transport, traitement, valorisation, élimination, gouvernance / collection, transport, treatment, valorisation, disposal, governance</t>
        </is>
      </c>
      <c r="M10" s="2" t="n">
        <v>0.5</v>
      </c>
      <c r="N10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10" s="3">
        <f>AVERAGE(G10,I10,K10,M10,P10)</f>
        <v/>
      </c>
      <c r="P10" s="2" t="n">
        <v>0.75</v>
      </c>
      <c r="Q10" s="2" t="inlineStr">
        <is>
          <t>Governance</t>
        </is>
      </c>
      <c r="R10" s="2" t="inlineStr">
        <is>
          <t>Art. 5: 'Sont transférés à la SONAGED, l Unité de Coordination de la Gestion des déchets solides et les autres projets et programmes publics de gestion intégrée des déchets solides' / 'UCG and other public integrated solid-waste management projects and programmes are transferred to SONAGED'.</t>
        </is>
      </c>
      <c r="S10" s="2" t="n">
        <v>1</v>
      </c>
      <c r="T10" s="2" t="n">
        <v>0.75</v>
      </c>
      <c r="U10" s="2" t="inlineStr">
        <is>
          <t>Exposé des motifs: UCG (arrêté 01048/2018) and PROMOGED (décret 2021-831) absorbed into single State company.</t>
        </is>
      </c>
      <c r="V10" s="3">
        <f>AVERAGE(P10,T10)</f>
        <v/>
      </c>
      <c r="W10" s="2" t="inlineStr">
        <is>
          <t>Transfert UCG + PROMOGED — fusion des structures de gestion déchets. / UCG + PROMOGED transfer — merger of waste-management structures.</t>
        </is>
      </c>
    </row>
    <row r="11">
      <c r="A11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11" s="2" t="inlineStr">
        <is>
          <t>https://www.fao.org/faolex/results/details/en/c/LEX-FAOC216236</t>
        </is>
      </c>
      <c r="C11" s="2" t="n">
        <v>2022</v>
      </c>
      <c r="D11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11" s="2" t="n">
        <v>0.75</v>
      </c>
      <c r="F11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11" s="2" t="n">
        <v>1</v>
      </c>
      <c r="H11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11" s="2" t="n">
        <v>1</v>
      </c>
      <c r="J11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11" s="2" t="n">
        <v>0.75</v>
      </c>
      <c r="L11" s="2" t="inlineStr">
        <is>
          <t>collecte, transport, traitement, valorisation, élimination, gouvernance / collection, transport, treatment, valorisation, disposal, governance</t>
        </is>
      </c>
      <c r="M11" s="2" t="n">
        <v>0.5</v>
      </c>
      <c r="N11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11" s="3">
        <f>AVERAGE(G11,I11,K11,M11,P11)</f>
        <v/>
      </c>
      <c r="P11" s="2" t="n">
        <v>0.6</v>
      </c>
      <c r="Q11" s="2" t="inlineStr">
        <is>
          <t>Governance</t>
        </is>
      </c>
      <c r="R11" s="2" t="inlineStr">
        <is>
          <t>Art. 3: 'L Etat détient la totalité des actions de la Société' / 'The State holds all shares in the Company' and may later open capital to other shareholders per statutes.</t>
        </is>
      </c>
      <c r="S11" s="2" t="n">
        <v>1</v>
      </c>
      <c r="T11" s="2" t="n">
        <v>0.75</v>
      </c>
      <c r="U11" s="2" t="inlineStr">
        <is>
          <t>Other public bodies may join capital; private opening possible per future statutes.</t>
        </is>
      </c>
      <c r="V11" s="3">
        <f>AVERAGE(P11,T11)</f>
        <v/>
      </c>
      <c r="W11" s="2" t="inlineStr">
        <is>
          <t>Société d'État à capital public — gouvernance actionnariale. / State company with public shareholding — corporate governance.</t>
        </is>
      </c>
    </row>
    <row r="12">
      <c r="A12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12" s="2" t="inlineStr">
        <is>
          <t>https://www.fao.org/faolex/results/details/en/c/LEX-FAOC216236</t>
        </is>
      </c>
      <c r="C12" s="2" t="n">
        <v>2022</v>
      </c>
      <c r="D12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12" s="2" t="n">
        <v>0.75</v>
      </c>
      <c r="F12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12" s="2" t="n">
        <v>1</v>
      </c>
      <c r="H12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12" s="2" t="n">
        <v>1</v>
      </c>
      <c r="J12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12" s="2" t="n">
        <v>0.75</v>
      </c>
      <c r="L12" s="2" t="inlineStr">
        <is>
          <t>collecte, transport, traitement, valorisation, élimination, gouvernance / collection, transport, treatment, valorisation, disposal, governance</t>
        </is>
      </c>
      <c r="M12" s="2" t="n">
        <v>0.5</v>
      </c>
      <c r="N12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12" s="3">
        <f>AVERAGE(G12,I12,K12,M12,P12)</f>
        <v/>
      </c>
      <c r="P12" s="2" t="n">
        <v>0.6</v>
      </c>
      <c r="Q12" s="2" t="inlineStr">
        <is>
          <t>Collection</t>
        </is>
      </c>
      <c r="R12" s="2" t="inlineStr">
        <is>
          <t>Art. 4: SONAGED resources include State endowment, other authorised resources and operating revenues to 'assurer la collecte des déchets sur tout le territoire national et de couvrir les charges de fonctionnement' / 'ensure waste collection nationwide and cover operating costs'.</t>
        </is>
      </c>
      <c r="S12" s="2" t="n">
        <v>1</v>
      </c>
      <c r="T12" s="2" t="n">
        <v>0.5</v>
      </c>
      <c r="U12" s="2" t="inlineStr">
        <is>
          <t>Funding modalities detailed in statutes (Art. 6) approved by decree.</t>
        </is>
      </c>
      <c r="V12" s="3">
        <f>AVERAGE(P12,T12)</f>
        <v/>
      </c>
      <c r="W12" s="2" t="inlineStr">
        <is>
          <t>Financement de la collecte nationale — ressources État et exploitation. / Nationwide collection funding — State endowment and operating revenue.</t>
        </is>
      </c>
    </row>
    <row r="13">
      <c r="A13" s="2" t="inlineStr">
        <is>
          <t>Loi n° 2022-18 du 23 mai 2022 autorisant la création de la Société nationale de gestion intégrée des déchets (SONAGED S.A.) / Law No. 2022-18 of 23 May 2022 authorising creation of the National Integrated Waste Management Company (SONAGED S.A.)</t>
        </is>
      </c>
      <c r="B13" s="2" t="inlineStr">
        <is>
          <t>https://www.fao.org/faolex/results/details/en/c/LEX-FAOC216236</t>
        </is>
      </c>
      <c r="C13" s="2" t="n">
        <v>2022</v>
      </c>
      <c r="D13" s="2" t="inlineStr">
        <is>
          <t>Autoriser la création de SONAGED S.A., société anonyme d'État remplaçant l'UCG pour coordonner la gestion intégrée des déchets solides à l'échelle nationale — collecte, transport, traitement, mise en décharge et valorisation — intégrant PROMOGED et autres programmes publics, en tant que régulateur du secteur et promoteur de l'économie circulaire et de l'intercommunalité, sans mesures spécifiques aux plastiques. / Authorise creation of SONAGED S.A., a State-owned company replacing UCG to coordinate integrated solid-waste management nationally — collection, transport, treatment, landfilling and valorisation — integrating PROMOGED and other public programmes, as sector regulator and promoter of circular economy and inter-municipal cooperation, without plastic-specific measures.</t>
        </is>
      </c>
      <c r="E13" s="2" t="n">
        <v>0.75</v>
      </c>
      <c r="F13" s="2" t="inlineStr">
        <is>
          <t>Art. 2: nationwide 'collecte, transport, mise en décharge, traitement et valorisation des déchets solides' / 'collection, transport, landfilling, treatment and valorisation of solid waste'; Art. 5: transfer of UCG and all public integrated solid-waste programmes (incl. PROMOGED); Art. 2: 'développer une économie circulaire et valoriser les déchets' / 'develop a circular economy and valorise waste'.</t>
        </is>
      </c>
      <c r="G13" s="2" t="n">
        <v>1</v>
      </c>
      <c r="H13" s="2" t="inlineStr">
        <is>
          <t>Loi adoptée par l'Assemblée nationale le 5 mai 2022 et promulguée le 23 mai 2022 en tant que Loi n° 2022-18. Il s'agit d'une loi parlementaire autorisant la création d'une société d'État (≠0.75). / Law adopted by the National Assembly on 5 May 2022 and promulgated on 23 May 2022 as Law No. 2022-18. It is parliamentary legislation authorising creation of a State-owned company (≠0.75).</t>
        </is>
      </c>
      <c r="I13" s="2" t="n">
        <v>1</v>
      </c>
      <c r="J13" s="2" t="inlineStr">
        <is>
          <t>gestion des déchets solides, hygiène publique, collectivités territoriales, secteur privé, environnement, économie circulaire / solid waste management, public hygiene, local government, private sector, environment, circular economy</t>
        </is>
      </c>
      <c r="K13" s="2" t="n">
        <v>0.75</v>
      </c>
      <c r="L13" s="2" t="inlineStr">
        <is>
          <t>collecte, transport, traitement, valorisation, élimination, gouvernance / collection, transport, treatment, valorisation, disposal, governance</t>
        </is>
      </c>
      <c r="M13" s="2" t="n">
        <v>0.5</v>
      </c>
      <c r="N13" s="2" t="inlineStr">
        <is>
          <t>Art. 4: resources from State endowment, other authorised resources, and operating revenues to fund nationwide collection and operating costs; Art. 3: State holds 100% of shares (capital may open to other public shareholders).</t>
        </is>
      </c>
      <c r="O13" s="3">
        <f>AVERAGE(G13,I13,K13,M13,P13)</f>
        <v/>
      </c>
      <c r="P13" s="2" t="n">
        <v>0.75</v>
      </c>
      <c r="Q13" s="2" t="inlineStr">
        <is>
          <t>Governance</t>
        </is>
      </c>
      <c r="R13" s="2" t="inlineStr">
        <is>
          <t>Art. 6: 'L organisation et le fonctionnement de la SONAGED sont fixés par les statuts approuvés par décret' / 'SONAGED organisation and operation are set by statutes approved by decree'.</t>
        </is>
      </c>
      <c r="S13" s="2" t="n">
        <v>1</v>
      </c>
      <c r="T13" s="2" t="n">
        <v>0.75</v>
      </c>
      <c r="U13" s="2" t="inlineStr">
        <is>
          <t>Implementing decree required; law executed as law of the State (promulgated 23 May 2022).</t>
        </is>
      </c>
      <c r="V13" s="3">
        <f>AVERAGE(P13,T13)</f>
        <v/>
      </c>
      <c r="W13" s="2" t="inlineStr">
        <is>
          <t>Modalités d'application par décret et statuts. / Implementation modalities by decree and statutes.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2026-07-22T12:56:00Z</dcterms:created>
  <dcterms:modified xmlns:dcterms="http://purl.org/dc/terms/" xmlns:xsi="http://www.w3.org/2001/XMLSchema-instance" xsi:type="dcterms:W3CDTF">2026-07-22T12:56:00Z</dcterms:modified>
</cp:coreProperties>
</file>