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8" customWidth="1" min="3" max="3"/>
    <col width="45" customWidth="1" min="4" max="4"/>
    <col width="8" customWidth="1" min="5" max="5"/>
    <col width="12" customWidth="1" min="6" max="6"/>
    <col width="8" customWidth="1" min="7" max="7"/>
    <col width="35" customWidth="1" min="8" max="8"/>
    <col width="8" customWidth="1" min="9" max="9"/>
    <col width="35" customWidth="1" min="10" max="10"/>
    <col width="8" customWidth="1" min="11" max="11"/>
    <col width="30" customWidth="1" min="12" max="12"/>
    <col width="8" customWidth="1" min="13" max="13"/>
    <col width="12" customWidth="1" min="14" max="14"/>
    <col width="10" customWidth="1" min="15" max="15"/>
    <col width="8" customWidth="1" min="16" max="16"/>
    <col width="20" customWidth="1" min="17" max="17"/>
    <col width="50" customWidth="1" min="18" max="18"/>
    <col width="8" customWidth="1" min="19" max="19"/>
    <col width="8" customWidth="1" min="20" max="20"/>
    <col width="40" customWidth="1" min="21" max="21"/>
    <col width="10" customWidth="1" min="22" max="22"/>
    <col width="40" customWidth="1" min="23" max="23"/>
  </cols>
  <sheetData>
    <row r="1">
      <c r="A1" s="1" t="inlineStr">
        <is>
          <t>A_policy_name</t>
        </is>
      </c>
      <c r="B1" s="1" t="inlineStr">
        <is>
          <t>B_policy_url</t>
        </is>
      </c>
      <c r="C1" s="1" t="inlineStr">
        <is>
          <t>C_policy_year</t>
        </is>
      </c>
      <c r="D1" s="1" t="inlineStr">
        <is>
          <t>D_policy_objective</t>
        </is>
      </c>
      <c r="E1" s="1" t="inlineStr">
        <is>
          <t>E_policy_target</t>
        </is>
      </c>
      <c r="F1" s="1" t="inlineStr">
        <is>
          <t>F_policy_target_text</t>
        </is>
      </c>
      <c r="G1" s="1" t="inlineStr">
        <is>
          <t>G_policy_type</t>
        </is>
      </c>
      <c r="H1" s="1" t="inlineStr">
        <is>
          <t>H_policy_type_justification</t>
        </is>
      </c>
      <c r="I1" s="1" t="inlineStr">
        <is>
          <t>I_policy_integration</t>
        </is>
      </c>
      <c r="J1" s="1" t="inlineStr">
        <is>
          <t>J_policy_sectors_list</t>
        </is>
      </c>
      <c r="K1" s="1" t="inlineStr">
        <is>
          <t>K_policy_circularity</t>
        </is>
      </c>
      <c r="L1" s="1" t="inlineStr">
        <is>
          <t>L_policy_lifecycle_phases_list</t>
        </is>
      </c>
      <c r="M1" s="1" t="inlineStr">
        <is>
          <t>M_policy_budget</t>
        </is>
      </c>
      <c r="N1" s="1" t="inlineStr">
        <is>
          <t>N_policy_budget_text</t>
        </is>
      </c>
      <c r="O1" s="1" t="inlineStr">
        <is>
          <t>O_policy_score</t>
        </is>
      </c>
      <c r="P1" s="1" t="inlineStr">
        <is>
          <t>P_instrument_type</t>
        </is>
      </c>
      <c r="Q1" s="1" t="inlineStr">
        <is>
          <t>Q_instrument_lifecycle_stage</t>
        </is>
      </c>
      <c r="R1" s="1" t="inlineStr">
        <is>
          <t>R_instrument_description</t>
        </is>
      </c>
      <c r="S1" s="1" t="inlineStr">
        <is>
          <t>S_instrument_in_force</t>
        </is>
      </c>
      <c r="T1" s="1" t="inlineStr">
        <is>
          <t>T_instrument_implementation</t>
        </is>
      </c>
      <c r="U1" s="1" t="inlineStr">
        <is>
          <t>U_instrument_implementation_text</t>
        </is>
      </c>
      <c r="V1" s="1" t="inlineStr">
        <is>
          <t>V_instrument_score</t>
        </is>
      </c>
      <c r="W1" s="1" t="inlineStr">
        <is>
          <t>W_comments</t>
        </is>
      </c>
    </row>
    <row r="2">
      <c r="A2" s="2" t="inlineStr">
        <is>
          <t>Lei do Ambiente (Lei n.º 20/97, de 1 de Outubro)</t>
        </is>
      </c>
      <c r="B2" s="2" t="inlineStr">
        <is>
          <t>not available</t>
        </is>
      </c>
      <c r="C2" s="2" t="n">
        <v>1997</v>
      </c>
      <c r="D2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2" s="2" t="n">
        <v>0</v>
      </c>
      <c r="F2" s="2" t="inlineStr"/>
      <c r="G2" s="3" t="n">
        <v>1</v>
      </c>
      <c r="H2" s="2" t="inlineStr">
        <is>
          <t>Legislation enacted by the Assembleia da República (Law No. 20/97), approved 31 July 1997 and promulgated 1 October 1997. Not an executive decree or strategy.</t>
        </is>
      </c>
      <c r="I2" s="3" t="n">
        <v>1</v>
      </c>
      <c r="J2" s="2" t="inlineStr">
        <is>
          <t>production, consumption, waste management, recycling, agriculture, industry, tourism, municipalities, fisheries, water, retail, transport</t>
        </is>
      </c>
      <c r="K2" s="3" t="n">
        <v>1</v>
      </c>
      <c r="L2" s="2" t="inlineStr">
        <is>
          <t>production, consumption, recycling, disposal, environmental leakage</t>
        </is>
      </c>
      <c r="M2" s="3" t="n">
        <v>0</v>
      </c>
      <c r="N2" s="2" t="inlineStr"/>
      <c r="O2" s="3">
        <f>AVERAGE(G2,I2,K2,M2,P2)</f>
        <v/>
      </c>
      <c r="P2" s="3" t="n">
        <v>0.2</v>
      </c>
      <c r="Q2" s="2" t="inlineStr">
        <is>
          <t>Waste management</t>
        </is>
      </c>
      <c r="R2" s="2" t="inlineStr">
        <is>
          <t>Art. 5: The Government shall elaborate and execute the National Environmental Management Programme (PNGA), the overarching planning instrument for environmental governance including waste and pollution control.</t>
        </is>
      </c>
      <c r="S2" s="3" t="n">
        <v>1</v>
      </c>
      <c r="T2" s="3" t="n">
        <v>0.25</v>
      </c>
      <c r="U2" s="2" t="inlineStr">
        <is>
          <t>'Cabe ao Governo elaborar e executar o Programa Nacional de Gestão Ambiental.' Responsible authority explicitly designated (Government).</t>
        </is>
      </c>
      <c r="V2" s="3">
        <f>AVERAGE(P2,T2)</f>
        <v/>
      </c>
      <c r="W2" s="2" t="inlineStr">
        <is>
          <t>Governance/coordination instrument. Applies to plastic-relevant environmental management via general waste/pollution framework (filter criterion c).</t>
        </is>
      </c>
    </row>
    <row r="3">
      <c r="A3" s="2" t="inlineStr">
        <is>
          <t>Lei do Ambiente (Lei n.º 20/97, de 1 de Outubro)</t>
        </is>
      </c>
      <c r="B3" s="2" t="inlineStr">
        <is>
          <t>not available</t>
        </is>
      </c>
      <c r="C3" s="2" t="n">
        <v>1997</v>
      </c>
      <c r="D3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3" s="2" t="n">
        <v>0</v>
      </c>
      <c r="F3" s="2" t="inlineStr"/>
      <c r="G3" s="3" t="n">
        <v>1</v>
      </c>
      <c r="H3" s="2" t="inlineStr">
        <is>
          <t>Legislation enacted by the Assembleia da República (Law No. 20/97), approved 31 July 1997 and promulgated 1 October 1997. Not an executive decree or strategy.</t>
        </is>
      </c>
      <c r="I3" s="3" t="n">
        <v>1</v>
      </c>
      <c r="J3" s="2" t="inlineStr">
        <is>
          <t>production, consumption, waste management, recycling, agriculture, industry, tourism, municipalities, fisheries, water, retail, transport</t>
        </is>
      </c>
      <c r="K3" s="3" t="n">
        <v>1</v>
      </c>
      <c r="L3" s="2" t="inlineStr">
        <is>
          <t>production, consumption, recycling, disposal, environmental leakage</t>
        </is>
      </c>
      <c r="M3" s="3" t="n">
        <v>0</v>
      </c>
      <c r="N3" s="2" t="inlineStr"/>
      <c r="O3" s="3">
        <f>AVERAGE(G3,I3,K3,M3,P3)</f>
        <v/>
      </c>
      <c r="P3" s="3" t="n">
        <v>0.2</v>
      </c>
      <c r="Q3" s="2" t="inlineStr">
        <is>
          <t>Waste management</t>
        </is>
      </c>
      <c r="R3" s="2" t="inlineStr">
        <is>
          <t>Art. 6: Creates the National Council for Sustainable Development (CONDES) as a consultative body of the Council of Ministers to coordinate environmental management and integrate sustainability principles in national development.</t>
        </is>
      </c>
      <c r="S3" s="3" t="n">
        <v>1</v>
      </c>
      <c r="T3" s="3" t="n">
        <v>0.25</v>
      </c>
      <c r="U3" s="2" t="inlineStr">
        <is>
          <t>'é criado o Conselho Nacional de Desenvolvimento Sustentável.' Institutional coordinating body explicitly established.</t>
        </is>
      </c>
      <c r="V3" s="3">
        <f>AVERAGE(P3,T3)</f>
        <v/>
      </c>
      <c r="W3" s="2" t="inlineStr">
        <is>
          <t>Multi-level governance coordination instrument (Rule 11). Composition and functioning regulated by Council of Ministers decree.</t>
        </is>
      </c>
    </row>
    <row r="4">
      <c r="A4" s="2" t="inlineStr">
        <is>
          <t>Lei do Ambiente (Lei n.º 20/97, de 1 de Outubro)</t>
        </is>
      </c>
      <c r="B4" s="2" t="inlineStr">
        <is>
          <t>not available</t>
        </is>
      </c>
      <c r="C4" s="2" t="n">
        <v>1997</v>
      </c>
      <c r="D4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4" s="2" t="n">
        <v>0</v>
      </c>
      <c r="F4" s="2" t="inlineStr"/>
      <c r="G4" s="3" t="n">
        <v>1</v>
      </c>
      <c r="H4" s="2" t="inlineStr">
        <is>
          <t>Legislation enacted by the Assembleia da República (Law No. 20/97), approved 31 July 1997 and promulgated 1 October 1997. Not an executive decree or strategy.</t>
        </is>
      </c>
      <c r="I4" s="3" t="n">
        <v>1</v>
      </c>
      <c r="J4" s="2" t="inlineStr">
        <is>
          <t>production, consumption, waste management, recycling, agriculture, industry, tourism, municipalities, fisheries, water, retail, transport</t>
        </is>
      </c>
      <c r="K4" s="3" t="n">
        <v>1</v>
      </c>
      <c r="L4" s="2" t="inlineStr">
        <is>
          <t>production, consumption, recycling, disposal, environmental leakage</t>
        </is>
      </c>
      <c r="M4" s="3" t="n">
        <v>0</v>
      </c>
      <c r="N4" s="2" t="inlineStr"/>
      <c r="O4" s="3">
        <f>AVERAGE(G4,I4,K4,M4,P4)</f>
        <v/>
      </c>
      <c r="P4" s="3" t="n">
        <v>0.2</v>
      </c>
      <c r="Q4" s="2" t="inlineStr">
        <is>
          <t>Waste management</t>
        </is>
      </c>
      <c r="R4" s="2" t="inlineStr">
        <is>
          <t>Art. 7: Local-level environmental services are created to implement the Law, guaranteeing coordination of environmental action and decentralisation — including municipal waste management responsibilities.</t>
        </is>
      </c>
      <c r="S4" s="3" t="n">
        <v>1</v>
      </c>
      <c r="T4" s="3" t="n">
        <v>0.25</v>
      </c>
      <c r="U4" s="2" t="inlineStr">
        <is>
          <t>'De nível local são criados serviços responsáveis pela implementação da presente Lei, os quais garantem coordenação da acção ambiental a esse nível e a descentralização na sua execução.'</t>
        </is>
      </c>
      <c r="V4" s="3">
        <f>AVERAGE(P4,T4)</f>
        <v/>
      </c>
      <c r="W4" s="2" t="inlineStr">
        <is>
          <t>National–local coordination framework commonly applied to municipal solid waste including plastic waste streams.</t>
        </is>
      </c>
    </row>
    <row r="5">
      <c r="A5" s="2" t="inlineStr">
        <is>
          <t>Lei do Ambiente (Lei n.º 20/97, de 1 de Outubro)</t>
        </is>
      </c>
      <c r="B5" s="2" t="inlineStr">
        <is>
          <t>not available</t>
        </is>
      </c>
      <c r="C5" s="2" t="n">
        <v>1997</v>
      </c>
      <c r="D5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5" s="2" t="n">
        <v>0</v>
      </c>
      <c r="F5" s="2" t="inlineStr"/>
      <c r="G5" s="3" t="n">
        <v>1</v>
      </c>
      <c r="H5" s="2" t="inlineStr">
        <is>
          <t>Legislation enacted by the Assembleia da República (Law No. 20/97), approved 31 July 1997 and promulgated 1 October 1997. Not an executive decree or strategy.</t>
        </is>
      </c>
      <c r="I5" s="3" t="n">
        <v>1</v>
      </c>
      <c r="J5" s="2" t="inlineStr">
        <is>
          <t>production, consumption, waste management, recycling, agriculture, industry, tourism, municipalities, fisheries, water, retail, transport</t>
        </is>
      </c>
      <c r="K5" s="3" t="n">
        <v>1</v>
      </c>
      <c r="L5" s="2" t="inlineStr">
        <is>
          <t>production, consumption, recycling, disposal, environmental leakage</t>
        </is>
      </c>
      <c r="M5" s="3" t="n">
        <v>0</v>
      </c>
      <c r="N5" s="2" t="inlineStr"/>
      <c r="O5" s="3">
        <f>AVERAGE(G5,I5,K5,M5,P5)</f>
        <v/>
      </c>
      <c r="P5" s="3" t="n">
        <v>0.4</v>
      </c>
      <c r="Q5" s="2" t="inlineStr">
        <is>
          <t>Consumption</t>
        </is>
      </c>
      <c r="R5" s="2" t="inlineStr">
        <is>
          <t>Art. 8: Government obligation to create adequate mechanisms to involve civil society sectors, local communities, and environmental defence associations in elaboration of environmental policy, legislation, and PNGA implementation.</t>
        </is>
      </c>
      <c r="S5" s="3" t="n">
        <v>1</v>
      </c>
      <c r="T5" s="3" t="n">
        <v>0.25</v>
      </c>
      <c r="U5" s="2" t="inlineStr">
        <is>
          <t>'É obrigação do Governo criar mecanismos adequados para envolver os diversos sectores da sociedade civil, comunidades locais, em particular as associações de defesa do ambiente.'</t>
        </is>
      </c>
      <c r="V5" s="3">
        <f>AVERAGE(P5,T5)</f>
        <v/>
      </c>
      <c r="W5" s="2" t="inlineStr">
        <is>
          <t>Information/participation instrument; no enforcement mechanism in this article.</t>
        </is>
      </c>
    </row>
    <row r="6">
      <c r="A6" s="2" t="inlineStr">
        <is>
          <t>Lei do Ambiente (Lei n.º 20/97, de 1 de Outubro)</t>
        </is>
      </c>
      <c r="B6" s="2" t="inlineStr">
        <is>
          <t>not available</t>
        </is>
      </c>
      <c r="C6" s="2" t="n">
        <v>1997</v>
      </c>
      <c r="D6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6" s="2" t="n">
        <v>0</v>
      </c>
      <c r="F6" s="2" t="inlineStr"/>
      <c r="G6" s="3" t="n">
        <v>1</v>
      </c>
      <c r="H6" s="2" t="inlineStr">
        <is>
          <t>Legislation enacted by the Assembleia da República (Law No. 20/97), approved 31 July 1997 and promulgated 1 October 1997. Not an executive decree or strategy.</t>
        </is>
      </c>
      <c r="I6" s="3" t="n">
        <v>1</v>
      </c>
      <c r="J6" s="2" t="inlineStr">
        <is>
          <t>production, consumption, waste management, recycling, agriculture, industry, tourism, municipalities, fisheries, water, retail, transport</t>
        </is>
      </c>
      <c r="K6" s="3" t="n">
        <v>1</v>
      </c>
      <c r="L6" s="2" t="inlineStr">
        <is>
          <t>production, consumption, recycling, disposal, environmental leakage</t>
        </is>
      </c>
      <c r="M6" s="3" t="n">
        <v>0</v>
      </c>
      <c r="N6" s="2" t="inlineStr"/>
      <c r="O6" s="3">
        <f>AVERAGE(G6,I6,K6,M6,P6)</f>
        <v/>
      </c>
      <c r="P6" s="3" t="n">
        <v>1</v>
      </c>
      <c r="Q6" s="2" t="inlineStr">
        <is>
          <t>Environmental leakage</t>
        </is>
      </c>
      <c r="R6" s="2" t="inlineStr">
        <is>
          <t>Art. 9: Prohibits production, deposit in soil/subsoil, and discharge to water or atmosphere of toxic and polluting substances beyond legally established limits; also activities accelerating erosion, desertification, deforestation, or other environmental degradation. Expressly prohibits import of hazardous waste/residues except as provided in specific legislation.</t>
        </is>
      </c>
      <c r="S6" s="3" t="n">
        <v>1</v>
      </c>
      <c r="T6" s="3" t="n">
        <v>0.25</v>
      </c>
      <c r="U6" s="2" t="inlineStr">
        <is>
          <t>'Não é permitida... de quaisquer substâncias tóxicas e poluidoras.' 'É expressamente proibida a importação... de resíduos ou lixos perigosos.' Mandatory prohibition language; no exemptions stated in Art. 9 (+0.25 unconditional).</t>
        </is>
      </c>
      <c r="V6" s="3">
        <f>AVERAGE(P6,T6)</f>
        <v/>
      </c>
      <c r="W6" s="2" t="inlineStr">
        <is>
          <t>Directly applicable to plastic waste and hazardous plastic residues. Enforcement details in Arts. 27–28 coded separately.</t>
        </is>
      </c>
    </row>
    <row r="7">
      <c r="A7" s="2" t="inlineStr">
        <is>
          <t>Lei do Ambiente (Lei n.º 20/97, de 1 de Outubro)</t>
        </is>
      </c>
      <c r="B7" s="2" t="inlineStr">
        <is>
          <t>not available</t>
        </is>
      </c>
      <c r="C7" s="2" t="n">
        <v>1997</v>
      </c>
      <c r="D7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7" s="2" t="n">
        <v>0</v>
      </c>
      <c r="F7" s="2" t="inlineStr"/>
      <c r="G7" s="3" t="n">
        <v>1</v>
      </c>
      <c r="H7" s="2" t="inlineStr">
        <is>
          <t>Legislation enacted by the Assembleia da República (Law No. 20/97), approved 31 July 1997 and promulgated 1 October 1997. Not an executive decree or strategy.</t>
        </is>
      </c>
      <c r="I7" s="3" t="n">
        <v>1</v>
      </c>
      <c r="J7" s="2" t="inlineStr">
        <is>
          <t>production, consumption, waste management, recycling, agriculture, industry, tourism, municipalities, fisheries, water, retail, transport</t>
        </is>
      </c>
      <c r="K7" s="3" t="n">
        <v>1</v>
      </c>
      <c r="L7" s="2" t="inlineStr">
        <is>
          <t>production, consumption, recycling, disposal, environmental leakage</t>
        </is>
      </c>
      <c r="M7" s="3" t="n">
        <v>0</v>
      </c>
      <c r="N7" s="2" t="inlineStr"/>
      <c r="O7" s="3">
        <f>AVERAGE(G7,I7,K7,M7,P7)</f>
        <v/>
      </c>
      <c r="P7" s="3" t="n">
        <v>1</v>
      </c>
      <c r="Q7" s="2" t="inlineStr">
        <is>
          <t>Production</t>
        </is>
      </c>
      <c r="R7" s="2" t="inlineStr">
        <is>
          <t>Art. 10: Government must establish environmental quality standards to ensure sustainable resource use, including norms and deadlines for adapting agricultural/industrial processes, machines and transport means, and devices to retain or neutralise polluting substances.</t>
        </is>
      </c>
      <c r="S7" s="3" t="n">
        <v>1</v>
      </c>
      <c r="T7" s="3" t="n">
        <v>0.5</v>
      </c>
      <c r="U7" s="2" t="inlineStr">
        <is>
          <t>'O Governo deve estabelecer padrões de qualidade ambiental.' Responsible authority designated (+0.25). Standards include deadlines for industrial process adaptation and pollutant retention devices (+0.25 monitoring mechanism via prescribed norms and deadlines).</t>
        </is>
      </c>
      <c r="V7" s="3">
        <f>AVERAGE(P7,T7)</f>
        <v/>
      </c>
      <c r="W7" s="2" t="inlineStr">
        <is>
          <t>Mandatory obligation on Government ('deve'); individual standards adopted via subordinate regulation but the duty to establish them is operative.</t>
        </is>
      </c>
    </row>
    <row r="8">
      <c r="A8" s="2" t="inlineStr">
        <is>
          <t>Lei do Ambiente (Lei n.º 20/97, de 1 de Outubro)</t>
        </is>
      </c>
      <c r="B8" s="2" t="inlineStr">
        <is>
          <t>not available</t>
        </is>
      </c>
      <c r="C8" s="2" t="n">
        <v>1997</v>
      </c>
      <c r="D8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8" s="2" t="n">
        <v>0</v>
      </c>
      <c r="F8" s="2" t="inlineStr"/>
      <c r="G8" s="3" t="n">
        <v>1</v>
      </c>
      <c r="H8" s="2" t="inlineStr">
        <is>
          <t>Legislation enacted by the Assembleia da República (Law No. 20/97), approved 31 July 1997 and promulgated 1 October 1997. Not an executive decree or strategy.</t>
        </is>
      </c>
      <c r="I8" s="3" t="n">
        <v>1</v>
      </c>
      <c r="J8" s="2" t="inlineStr">
        <is>
          <t>production, consumption, waste management, recycling, agriculture, industry, tourism, municipalities, fisheries, water, retail, transport</t>
        </is>
      </c>
      <c r="K8" s="3" t="n">
        <v>1</v>
      </c>
      <c r="L8" s="2" t="inlineStr">
        <is>
          <t>production, consumption, recycling, disposal, environmental leakage</t>
        </is>
      </c>
      <c r="M8" s="3" t="n">
        <v>0</v>
      </c>
      <c r="N8" s="2" t="inlineStr"/>
      <c r="O8" s="3">
        <f>AVERAGE(G8,I8,K8,M8,P8)</f>
        <v/>
      </c>
      <c r="P8" s="3" t="n">
        <v>1</v>
      </c>
      <c r="Q8" s="2" t="inlineStr">
        <is>
          <t>Disposal</t>
        </is>
      </c>
      <c r="R8" s="2" t="inlineStr">
        <is>
          <t>Art. 14(1): Prohibits installation of infrastructure (including waste dumping) that causes significant negative environmental impact, especially in coastal zones, erosion/desertification zones, wetlands, protected areas, and other ecologically sensitive areas.</t>
        </is>
      </c>
      <c r="S8" s="3" t="n">
        <v>1</v>
      </c>
      <c r="T8" s="3" t="n">
        <v>0.5</v>
      </c>
      <c r="U8" s="2" t="inlineStr">
        <is>
          <t>'É proibida a implantação de infra-estruturas... mesmo se aplicando à deposição de lixos ou materiais usados.' Unconditional prohibition in sensitive zones (+0.25). 'São estabelecidas por regulamento as normas' — Government authority for implementation norms (+0.25).</t>
        </is>
      </c>
      <c r="V8" s="3">
        <f>AVERAGE(P8,T8)</f>
        <v/>
      </c>
      <c r="W8" s="2" t="inlineStr">
        <is>
          <t>Directly restricts waste dumping including plastic litter disposal in sensitive coastal and aquatic environments.</t>
        </is>
      </c>
    </row>
    <row r="9">
      <c r="A9" s="2" t="inlineStr">
        <is>
          <t>Lei do Ambiente (Lei n.º 20/97, de 1 de Outubro)</t>
        </is>
      </c>
      <c r="B9" s="2" t="inlineStr">
        <is>
          <t>not available</t>
        </is>
      </c>
      <c r="C9" s="2" t="n">
        <v>1997</v>
      </c>
      <c r="D9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9" s="2" t="n">
        <v>0</v>
      </c>
      <c r="F9" s="2" t="inlineStr"/>
      <c r="G9" s="3" t="n">
        <v>1</v>
      </c>
      <c r="H9" s="2" t="inlineStr">
        <is>
          <t>Legislation enacted by the Assembleia da República (Law No. 20/97), approved 31 July 1997 and promulgated 1 October 1997. Not an executive decree or strategy.</t>
        </is>
      </c>
      <c r="I9" s="3" t="n">
        <v>1</v>
      </c>
      <c r="J9" s="2" t="inlineStr">
        <is>
          <t>production, consumption, waste management, recycling, agriculture, industry, tourism, municipalities, fisheries, water, retail, transport</t>
        </is>
      </c>
      <c r="K9" s="3" t="n">
        <v>1</v>
      </c>
      <c r="L9" s="2" t="inlineStr">
        <is>
          <t>production, consumption, recycling, disposal, environmental leakage</t>
        </is>
      </c>
      <c r="M9" s="3" t="n">
        <v>0</v>
      </c>
      <c r="N9" s="2" t="inlineStr"/>
      <c r="O9" s="3">
        <f>AVERAGE(G9,I9,K9,M9,P9)</f>
        <v/>
      </c>
      <c r="P9" s="3" t="n">
        <v>1</v>
      </c>
      <c r="Q9" s="2" t="inlineStr">
        <is>
          <t>Production</t>
        </is>
      </c>
      <c r="R9" s="2" t="inlineStr">
        <is>
          <t>Art. 15: Environmental licensing and registration of activities susceptible to significant environmental impacts (by nature, location or scale) shall be conducted per a regime established by government regulation; environmental licence based on EIA and precedes all other required licences.</t>
        </is>
      </c>
      <c r="S9" s="3" t="n">
        <v>1</v>
      </c>
      <c r="T9" s="3" t="n">
        <v>0.5</v>
      </c>
      <c r="U9" s="2" t="inlineStr">
        <is>
          <t>'o licenciamento e o registo das actividades... são feitos de acordo com regime a estabelecer pelo governo.' Government as licensing authority (+0.25). EIA-based assessment requirement (+0.25 monitoring).</t>
        </is>
      </c>
      <c r="V9" s="3">
        <f>AVERAGE(P9,T9)</f>
        <v/>
      </c>
      <c r="W9" s="2" t="inlineStr">
        <is>
          <t>Applies to plastic production facilities, packaging plants, and waste management installations. Licensing regime details in subordinate regulation.</t>
        </is>
      </c>
    </row>
    <row r="10">
      <c r="A10" s="2" t="inlineStr">
        <is>
          <t>Lei do Ambiente (Lei n.º 20/97, de 1 de Outubro)</t>
        </is>
      </c>
      <c r="B10" s="2" t="inlineStr">
        <is>
          <t>not available</t>
        </is>
      </c>
      <c r="C10" s="2" t="n">
        <v>1997</v>
      </c>
      <c r="D10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0" s="2" t="n">
        <v>0</v>
      </c>
      <c r="F10" s="2" t="inlineStr"/>
      <c r="G10" s="3" t="n">
        <v>1</v>
      </c>
      <c r="H10" s="2" t="inlineStr">
        <is>
          <t>Legislation enacted by the Assembleia da República (Law No. 20/97), approved 31 July 1997 and promulgated 1 October 1997. Not an executive decree or strategy.</t>
        </is>
      </c>
      <c r="I10" s="3" t="n">
        <v>1</v>
      </c>
      <c r="J10" s="2" t="inlineStr">
        <is>
          <t>production, consumption, waste management, recycling, agriculture, industry, tourism, municipalities, fisheries, water, retail, transport</t>
        </is>
      </c>
      <c r="K10" s="3" t="n">
        <v>1</v>
      </c>
      <c r="L10" s="2" t="inlineStr">
        <is>
          <t>production, consumption, recycling, disposal, environmental leakage</t>
        </is>
      </c>
      <c r="M10" s="3" t="n">
        <v>0</v>
      </c>
      <c r="N10" s="2" t="inlineStr"/>
      <c r="O10" s="3">
        <f>AVERAGE(G10,I10,K10,M10,P10)</f>
        <v/>
      </c>
      <c r="P10" s="3" t="n">
        <v>1</v>
      </c>
      <c r="Q10" s="2" t="inlineStr">
        <is>
          <t>Production</t>
        </is>
      </c>
      <c r="R10" s="2" t="inlineStr">
        <is>
          <t>Art. 16–17: Environmental impact assessment (EIA) required based on EIA study by government-accredited entities. Minimum study content includes description of activity, baseline environment, modifications to environmental components, measures to suppress/reduce negative effects, and control/monitoring systems.</t>
        </is>
      </c>
      <c r="S10" s="3" t="n">
        <v>1</v>
      </c>
      <c r="T10" s="3" t="n">
        <v>0.5</v>
      </c>
      <c r="U10" s="2" t="inlineStr">
        <is>
          <t>'A avaliação do impacto ambiental tem como base um estudo de impacto ambiental a ser realizado por entidades credenciadas pelo Governo.' Accredited entities (+0.25 authority). Study must include 'sistemas previstos para controlo e monitorização da actividade' (+0.25 monitoring).</t>
        </is>
      </c>
      <c r="V10" s="3">
        <f>AVERAGE(P10,T10)</f>
        <v/>
      </c>
      <c r="W10" s="2" t="inlineStr">
        <is>
          <t>Arts. 16 and 17 coded as one instrument (EIA process and minimum content).</t>
        </is>
      </c>
    </row>
    <row r="11">
      <c r="A11" s="2" t="inlineStr">
        <is>
          <t>Lei do Ambiente (Lei n.º 20/97, de 1 de Outubro)</t>
        </is>
      </c>
      <c r="B11" s="2" t="inlineStr">
        <is>
          <t>not available</t>
        </is>
      </c>
      <c r="C11" s="2" t="n">
        <v>1997</v>
      </c>
      <c r="D11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1" s="2" t="n">
        <v>0</v>
      </c>
      <c r="F11" s="2" t="inlineStr"/>
      <c r="G11" s="3" t="n">
        <v>1</v>
      </c>
      <c r="H11" s="2" t="inlineStr">
        <is>
          <t>Legislation enacted by the Assembleia da República (Law No. 20/97), approved 31 July 1997 and promulgated 1 October 1997. Not an executive decree or strategy.</t>
        </is>
      </c>
      <c r="I11" s="3" t="n">
        <v>1</v>
      </c>
      <c r="J11" s="2" t="inlineStr">
        <is>
          <t>production, consumption, waste management, recycling, agriculture, industry, tourism, municipalities, fisheries, water, retail, transport</t>
        </is>
      </c>
      <c r="K11" s="3" t="n">
        <v>1</v>
      </c>
      <c r="L11" s="2" t="inlineStr">
        <is>
          <t>production, consumption, recycling, disposal, environmental leakage</t>
        </is>
      </c>
      <c r="M11" s="3" t="n">
        <v>0</v>
      </c>
      <c r="N11" s="2" t="inlineStr"/>
      <c r="O11" s="3">
        <f>AVERAGE(G11,I11,K11,M11,P11)</f>
        <v/>
      </c>
      <c r="P11" s="3" t="n">
        <v>1</v>
      </c>
      <c r="Q11" s="2" t="inlineStr">
        <is>
          <t>Production</t>
        </is>
      </c>
      <c r="R11" s="2" t="inlineStr">
        <is>
          <t>Art. 18: All operating activities lacking appropriate technologies/processes that result or may result in environmental damage are subject to environmental audits; repair costs borne by entrepreneurs.</t>
        </is>
      </c>
      <c r="S11" s="3" t="n">
        <v>1</v>
      </c>
      <c r="T11" s="3" t="n">
        <v>0.75</v>
      </c>
      <c r="U11" s="2" t="inlineStr">
        <is>
          <t>'são objecto de auditorias ambientais.' Monitoring via audits (+0.25). 'Os custos decorrentes da reparação dos danos ambientais... são da responsabilidade dos empreendedores' — enforcement/liability (+0.25). 'São estabelecidas por regulamento as normas' — authority (+0.25). Applies to all non-compliant operating activities (+0.25 unconditional).</t>
        </is>
      </c>
      <c r="V11" s="3">
        <f>AVERAGE(P11,T11)</f>
        <v/>
      </c>
      <c r="W11" s="2" t="inlineStr">
        <is>
          <t>Relevant to legacy industrial plastic production without adequate pollution controls.</t>
        </is>
      </c>
    </row>
    <row r="12">
      <c r="A12" s="2" t="inlineStr">
        <is>
          <t>Lei do Ambiente (Lei n.º 20/97, de 1 de Outubro)</t>
        </is>
      </c>
      <c r="B12" s="2" t="inlineStr">
        <is>
          <t>not available</t>
        </is>
      </c>
      <c r="C12" s="2" t="n">
        <v>1997</v>
      </c>
      <c r="D12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2" s="2" t="n">
        <v>0</v>
      </c>
      <c r="F12" s="2" t="inlineStr"/>
      <c r="G12" s="3" t="n">
        <v>1</v>
      </c>
      <c r="H12" s="2" t="inlineStr">
        <is>
          <t>Legislation enacted by the Assembleia da República (Law No. 20/97), approved 31 July 1997 and promulgated 1 October 1997. Not an executive decree or strategy.</t>
        </is>
      </c>
      <c r="I12" s="3" t="n">
        <v>1</v>
      </c>
      <c r="J12" s="2" t="inlineStr">
        <is>
          <t>production, consumption, waste management, recycling, agriculture, industry, tourism, municipalities, fisheries, water, retail, transport</t>
        </is>
      </c>
      <c r="K12" s="3" t="n">
        <v>1</v>
      </c>
      <c r="L12" s="2" t="inlineStr">
        <is>
          <t>production, consumption, recycling, disposal, environmental leakage</t>
        </is>
      </c>
      <c r="M12" s="3" t="n">
        <v>0</v>
      </c>
      <c r="N12" s="2" t="inlineStr"/>
      <c r="O12" s="3">
        <f>AVERAGE(G12,I12,K12,M12,P12)</f>
        <v/>
      </c>
      <c r="P12" s="3" t="n">
        <v>1</v>
      </c>
      <c r="Q12" s="2" t="inlineStr">
        <is>
          <t>Consumption</t>
        </is>
      </c>
      <c r="R12" s="2" t="inlineStr">
        <is>
          <t>Art. 24: All persons have the obligation to use natural resources responsibly and sustainably, wherever they are.</t>
        </is>
      </c>
      <c r="S12" s="3" t="n">
        <v>1</v>
      </c>
      <c r="T12" s="3" t="n">
        <v>0.25</v>
      </c>
      <c r="U12" s="2" t="inlineStr">
        <is>
          <t>'Todas as pessoas têm a obrigação de utilizar os recursos naturais de forma responsável e sustentável.' Mandatory language; no exemptions (+0.25 unconditional).</t>
        </is>
      </c>
      <c r="V12" s="3">
        <f>AVERAGE(P12,T12)</f>
        <v/>
      </c>
      <c r="W12" s="2" t="inlineStr">
        <is>
          <t>General consumption-phase obligation applicable to improper disposal of plastic and other waste.</t>
        </is>
      </c>
    </row>
    <row r="13">
      <c r="A13" s="2" t="inlineStr">
        <is>
          <t>Lei do Ambiente (Lei n.º 20/97, de 1 de Outubro)</t>
        </is>
      </c>
      <c r="B13" s="2" t="inlineStr">
        <is>
          <t>not available</t>
        </is>
      </c>
      <c r="C13" s="2" t="n">
        <v>1997</v>
      </c>
      <c r="D13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3" s="2" t="n">
        <v>0</v>
      </c>
      <c r="F13" s="2" t="inlineStr"/>
      <c r="G13" s="3" t="n">
        <v>1</v>
      </c>
      <c r="H13" s="2" t="inlineStr">
        <is>
          <t>Legislation enacted by the Assembleia da República (Law No. 20/97), approved 31 July 1997 and promulgated 1 October 1997. Not an executive decree or strategy.</t>
        </is>
      </c>
      <c r="I13" s="3" t="n">
        <v>1</v>
      </c>
      <c r="J13" s="2" t="inlineStr">
        <is>
          <t>production, consumption, waste management, recycling, agriculture, industry, tourism, municipalities, fisheries, water, retail, transport</t>
        </is>
      </c>
      <c r="K13" s="3" t="n">
        <v>1</v>
      </c>
      <c r="L13" s="2" t="inlineStr">
        <is>
          <t>production, consumption, recycling, disposal, environmental leakage</t>
        </is>
      </c>
      <c r="M13" s="3" t="n">
        <v>0</v>
      </c>
      <c r="N13" s="2" t="inlineStr"/>
      <c r="O13" s="3">
        <f>AVERAGE(G13,I13,K13,M13,P13)</f>
        <v/>
      </c>
      <c r="P13" s="3" t="n">
        <v>1</v>
      </c>
      <c r="Q13" s="2" t="inlineStr">
        <is>
          <t>Production</t>
        </is>
      </c>
      <c r="R13" s="2" t="inlineStr">
        <is>
          <t>Art. 25: All persons exercising activities involving high risk of environmental degradation, as classified under EIA legislation, must secure civil liability insurance.</t>
        </is>
      </c>
      <c r="S13" s="3" t="n">
        <v>1</v>
      </c>
      <c r="T13" s="3" t="n">
        <v>0.5</v>
      </c>
      <c r="U13" s="2" t="inlineStr">
        <is>
          <t>'devem segurar a sua responsabilidade civil.' Mandatory insurance requirement (+0.25 unconditional). Classification by EIA legislation establishes designated authority framework (+0.25).</t>
        </is>
      </c>
      <c r="V13" s="3">
        <f>AVERAGE(P13,T13)</f>
        <v/>
      </c>
      <c r="W13" s="2" t="inlineStr">
        <is>
          <t>Applies to high-risk activities including waste management and industrial facilities.</t>
        </is>
      </c>
    </row>
    <row r="14">
      <c r="A14" s="2" t="inlineStr">
        <is>
          <t>Lei do Ambiente (Lei n.º 20/97, de 1 de Outubro)</t>
        </is>
      </c>
      <c r="B14" s="2" t="inlineStr">
        <is>
          <t>not available</t>
        </is>
      </c>
      <c r="C14" s="2" t="n">
        <v>1997</v>
      </c>
      <c r="D14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4" s="2" t="n">
        <v>0</v>
      </c>
      <c r="F14" s="2" t="inlineStr"/>
      <c r="G14" s="3" t="n">
        <v>1</v>
      </c>
      <c r="H14" s="2" t="inlineStr">
        <is>
          <t>Legislation enacted by the Assembleia da República (Law No. 20/97), approved 31 July 1997 and promulgated 1 October 1997. Not an executive decree or strategy.</t>
        </is>
      </c>
      <c r="I14" s="3" t="n">
        <v>1</v>
      </c>
      <c r="J14" s="2" t="inlineStr">
        <is>
          <t>production, consumption, waste management, recycling, agriculture, industry, tourism, municipalities, fisheries, water, retail, transport</t>
        </is>
      </c>
      <c r="K14" s="3" t="n">
        <v>1</v>
      </c>
      <c r="L14" s="2" t="inlineStr">
        <is>
          <t>production, consumption, recycling, disposal, environmental leakage</t>
        </is>
      </c>
      <c r="M14" s="3" t="n">
        <v>0</v>
      </c>
      <c r="N14" s="2" t="inlineStr"/>
      <c r="O14" s="3">
        <f>AVERAGE(G14,I14,K14,M14,P14)</f>
        <v/>
      </c>
      <c r="P14" s="3" t="n">
        <v>1</v>
      </c>
      <c r="Q14" s="2" t="inlineStr">
        <is>
          <t>Environmental leakage</t>
        </is>
      </c>
      <c r="R14" s="2" t="inlineStr">
        <is>
          <t>Art. 26: Strict liability — all who cause significant environmental damage or paralyse economic activities through especially dangerous activities, regardless of fault, must pay compensation; Government supervises damage valuation via environmental expert appraisal.</t>
        </is>
      </c>
      <c r="S14" s="3" t="n">
        <v>1</v>
      </c>
      <c r="T14" s="3" t="n">
        <v>0.5</v>
      </c>
      <c r="U14" s="2" t="inlineStr">
        <is>
          <t>'Constituem-se na obrigação de pagar uma indemnização aos lesados todos aqueles que, independentemente de culpa... causem danos significativos ao ambiente.' Enforcement via indemnisation (+0.25). 'Compete ao Governo supervisar a avaliação da gravidade dos danos' (+0.25 monitoring).</t>
        </is>
      </c>
      <c r="V14" s="3">
        <f>AVERAGE(P14,T14)</f>
        <v/>
      </c>
      <c r="W14" s="2" t="inlineStr">
        <is>
          <t>Polluter-pays enforcement mechanism applicable to plastic pollution damage.</t>
        </is>
      </c>
    </row>
    <row r="15">
      <c r="A15" s="2" t="inlineStr">
        <is>
          <t>Lei do Ambiente (Lei n.º 20/97, de 1 de Outubro)</t>
        </is>
      </c>
      <c r="B15" s="2" t="inlineStr">
        <is>
          <t>not available</t>
        </is>
      </c>
      <c r="C15" s="2" t="n">
        <v>1997</v>
      </c>
      <c r="D15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5" s="2" t="n">
        <v>0</v>
      </c>
      <c r="F15" s="2" t="inlineStr"/>
      <c r="G15" s="3" t="n">
        <v>1</v>
      </c>
      <c r="H15" s="2" t="inlineStr">
        <is>
          <t>Legislation enacted by the Assembleia da República (Law No. 20/97), approved 31 July 1997 and promulgated 1 October 1997. Not an executive decree or strategy.</t>
        </is>
      </c>
      <c r="I15" s="3" t="n">
        <v>1</v>
      </c>
      <c r="J15" s="2" t="inlineStr">
        <is>
          <t>production, consumption, waste management, recycling, agriculture, industry, tourism, municipalities, fisheries, water, retail, transport</t>
        </is>
      </c>
      <c r="K15" s="3" t="n">
        <v>1</v>
      </c>
      <c r="L15" s="2" t="inlineStr">
        <is>
          <t>production, consumption, recycling, disposal, environmental leakage</t>
        </is>
      </c>
      <c r="M15" s="3" t="n">
        <v>0</v>
      </c>
      <c r="N15" s="2" t="inlineStr"/>
      <c r="O15" s="3">
        <f>AVERAGE(G15,I15,K15,M15,P15)</f>
        <v/>
      </c>
      <c r="P15" s="3" t="n">
        <v>1</v>
      </c>
      <c r="Q15" s="2" t="inlineStr">
        <is>
          <t>Environmental leakage</t>
        </is>
      </c>
      <c r="R15" s="2" t="inlineStr">
        <is>
          <t>Art. 27: Environmental crimes and contraventions to be provided in specific legislation; Public Ministry responsible for defending environmental values protected by this Law.</t>
        </is>
      </c>
      <c r="S15" s="3" t="n">
        <v>0</v>
      </c>
      <c r="T15" s="3" t="n">
        <v>0.25</v>
      </c>
      <c r="U15" s="2" t="inlineStr">
        <is>
          <t>'As infracções de carácter criminal, bem como as contravenções relativas ao ambiente, são objecto de previsão em legislação específica.' Enabling power — penalties defined elsewhere. 'Compete ao Ministério Público a defesa dos valores ambientais' (+0.25 authority).</t>
        </is>
      </c>
      <c r="V15" s="3">
        <f>AVERAGE(P15,T15)</f>
        <v/>
      </c>
      <c r="W15" s="2" t="inlineStr">
        <is>
          <t>In-force = 0 per Rule 12: crimes/contraventions deferred to separate legislation. May be partially operationalised via Penal Code and sectoral decrees; not evidenced in this Law text alone.</t>
        </is>
      </c>
    </row>
    <row r="16">
      <c r="A16" s="2" t="inlineStr">
        <is>
          <t>Lei do Ambiente (Lei n.º 20/97, de 1 de Outubro)</t>
        </is>
      </c>
      <c r="B16" s="2" t="inlineStr">
        <is>
          <t>not available</t>
        </is>
      </c>
      <c r="C16" s="2" t="n">
        <v>1997</v>
      </c>
      <c r="D16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6" s="2" t="n">
        <v>0</v>
      </c>
      <c r="F16" s="2" t="inlineStr"/>
      <c r="G16" s="3" t="n">
        <v>1</v>
      </c>
      <c r="H16" s="2" t="inlineStr">
        <is>
          <t>Legislation enacted by the Assembleia da República (Law No. 20/97), approved 31 July 1997 and promulgated 1 October 1997. Not an executive decree or strategy.</t>
        </is>
      </c>
      <c r="I16" s="3" t="n">
        <v>1</v>
      </c>
      <c r="J16" s="2" t="inlineStr">
        <is>
          <t>production, consumption, waste management, recycling, agriculture, industry, tourism, municipalities, fisheries, water, retail, transport</t>
        </is>
      </c>
      <c r="K16" s="3" t="n">
        <v>1</v>
      </c>
      <c r="L16" s="2" t="inlineStr">
        <is>
          <t>production, consumption, recycling, disposal, environmental leakage</t>
        </is>
      </c>
      <c r="M16" s="3" t="n">
        <v>0</v>
      </c>
      <c r="N16" s="2" t="inlineStr"/>
      <c r="O16" s="3">
        <f>AVERAGE(G16,I16,K16,M16,P16)</f>
        <v/>
      </c>
      <c r="P16" s="3" t="n">
        <v>0.2</v>
      </c>
      <c r="Q16" s="2" t="inlineStr">
        <is>
          <t>Waste management</t>
        </is>
      </c>
      <c r="R16" s="2" t="inlineStr">
        <is>
          <t>Art. 28: Government shall create, under terms to be regulated, a corps of environmental inspection agents competent to ensure implementation of environmental legislation and take preventive measures.</t>
        </is>
      </c>
      <c r="S16" s="3" t="n">
        <v>0</v>
      </c>
      <c r="T16" s="3" t="n">
        <v>0.25</v>
      </c>
      <c r="U16" s="2" t="inlineStr">
        <is>
          <t>'Compete ao Governo criar, em termos a regulamentar, um corpo de agentes de fiscalização ambiental.' Enabling power ('em termos a regulamentar') — operative only once subordinate regulation creates the inspection corps.</t>
        </is>
      </c>
      <c r="V16" s="3">
        <f>AVERAGE(P16,T16)</f>
        <v/>
      </c>
      <c r="W16" s="2" t="inlineStr">
        <is>
          <t>Governance/enforcement framework instrument. In-force = 0 unless subordinate regulation operationalising inspection agents is evidenced (not in this document).</t>
        </is>
      </c>
    </row>
    <row r="17">
      <c r="A17" s="2" t="inlineStr">
        <is>
          <t>Lei do Ambiente (Lei n.º 20/97, de 1 de Outubro)</t>
        </is>
      </c>
      <c r="B17" s="2" t="inlineStr">
        <is>
          <t>not available</t>
        </is>
      </c>
      <c r="C17" s="2" t="n">
        <v>1997</v>
      </c>
      <c r="D17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7" s="2" t="n">
        <v>0</v>
      </c>
      <c r="F17" s="2" t="inlineStr"/>
      <c r="G17" s="3" t="n">
        <v>1</v>
      </c>
      <c r="H17" s="2" t="inlineStr">
        <is>
          <t>Legislation enacted by the Assembleia da República (Law No. 20/97), approved 31 July 1997 and promulgated 1 October 1997. Not an executive decree or strategy.</t>
        </is>
      </c>
      <c r="I17" s="3" t="n">
        <v>1</v>
      </c>
      <c r="J17" s="2" t="inlineStr">
        <is>
          <t>production, consumption, waste management, recycling, agriculture, industry, tourism, municipalities, fisheries, water, retail, transport</t>
        </is>
      </c>
      <c r="K17" s="3" t="n">
        <v>1</v>
      </c>
      <c r="L17" s="2" t="inlineStr">
        <is>
          <t>production, consumption, recycling, disposal, environmental leakage</t>
        </is>
      </c>
      <c r="M17" s="3" t="n">
        <v>0</v>
      </c>
      <c r="N17" s="2" t="inlineStr"/>
      <c r="O17" s="3">
        <f>AVERAGE(G17,I17,K17,M17,P17)</f>
        <v/>
      </c>
      <c r="P17" s="3" t="n">
        <v>1</v>
      </c>
      <c r="Q17" s="2" t="inlineStr">
        <is>
          <t>Waste management</t>
        </is>
      </c>
      <c r="R17" s="2" t="inlineStr">
        <is>
          <t>Art. 29: All persons in charge of an activity or place subject to inspection must collaborate with environmental inspection agents.</t>
        </is>
      </c>
      <c r="S17" s="3" t="n">
        <v>1</v>
      </c>
      <c r="T17" s="3" t="n">
        <v>0.25</v>
      </c>
      <c r="U17" s="2" t="inlineStr">
        <is>
          <t>'Todas as pessoas encarregues de uma actividade ou lugar sujeito à fiscalização devem colaborar com os agentes de fiscalização.' Mandatory collaboration duty.</t>
        </is>
      </c>
      <c r="V17" s="3">
        <f>AVERAGE(P17,T17)</f>
        <v/>
      </c>
      <c r="W17" s="2" t="inlineStr">
        <is>
          <t>Binding duty operative in law text; effectiveness depends on Art. 28 inspection corps being operationalised.</t>
        </is>
      </c>
    </row>
    <row r="18">
      <c r="A18" s="2" t="inlineStr">
        <is>
          <t>Lei do Ambiente (Lei n.º 20/97, de 1 de Outubro)</t>
        </is>
      </c>
      <c r="B18" s="2" t="inlineStr">
        <is>
          <t>not available</t>
        </is>
      </c>
      <c r="C18" s="2" t="n">
        <v>1997</v>
      </c>
      <c r="D18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8" s="2" t="n">
        <v>0</v>
      </c>
      <c r="F18" s="2" t="inlineStr"/>
      <c r="G18" s="3" t="n">
        <v>1</v>
      </c>
      <c r="H18" s="2" t="inlineStr">
        <is>
          <t>Legislation enacted by the Assembleia da República (Law No. 20/97), approved 31 July 1997 and promulgated 1 October 1997. Not an executive decree or strategy.</t>
        </is>
      </c>
      <c r="I18" s="3" t="n">
        <v>1</v>
      </c>
      <c r="J18" s="2" t="inlineStr">
        <is>
          <t>production, consumption, waste management, recycling, agriculture, industry, tourism, municipalities, fisheries, water, retail, transport</t>
        </is>
      </c>
      <c r="K18" s="3" t="n">
        <v>1</v>
      </c>
      <c r="L18" s="2" t="inlineStr">
        <is>
          <t>production, consumption, recycling, disposal, environmental leakage</t>
        </is>
      </c>
      <c r="M18" s="3" t="n">
        <v>0</v>
      </c>
      <c r="N18" s="2" t="inlineStr"/>
      <c r="O18" s="3">
        <f>AVERAGE(G18,I18,K18,M18,P18)</f>
        <v/>
      </c>
      <c r="P18" s="3" t="n">
        <v>0.2</v>
      </c>
      <c r="Q18" s="2" t="inlineStr">
        <is>
          <t>Waste management</t>
        </is>
      </c>
      <c r="R18" s="2" t="inlineStr">
        <is>
          <t>Art. 30: Government, in coordination with local authorities, promotes creation of community environmental inspection agents to ensure community participation in enforcement.</t>
        </is>
      </c>
      <c r="S18" s="3" t="n">
        <v>0</v>
      </c>
      <c r="T18" s="3" t="n">
        <v>0.25</v>
      </c>
      <c r="U18" s="2" t="inlineStr">
        <is>
          <t>'o Governo... promove a criação de agentes de fiscalização comunitários.' Promotional/enabling language — not a binding operative requirement.</t>
        </is>
      </c>
      <c r="V18" s="3">
        <f>AVERAGE(P18,T18)</f>
        <v/>
      </c>
      <c r="W18" s="2" t="inlineStr">
        <is>
          <t>Multi-level enforcement coordination; promotional rather than mandatory.</t>
        </is>
      </c>
    </row>
    <row r="19">
      <c r="A19" s="2" t="inlineStr">
        <is>
          <t>Lei do Ambiente (Lei n.º 20/97, de 1 de Outubro)</t>
        </is>
      </c>
      <c r="B19" s="2" t="inlineStr">
        <is>
          <t>not available</t>
        </is>
      </c>
      <c r="C19" s="2" t="n">
        <v>1997</v>
      </c>
      <c r="D19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19" s="2" t="n">
        <v>0</v>
      </c>
      <c r="F19" s="2" t="inlineStr"/>
      <c r="G19" s="3" t="n">
        <v>1</v>
      </c>
      <c r="H19" s="2" t="inlineStr">
        <is>
          <t>Legislation enacted by the Assembleia da República (Law No. 20/97), approved 31 July 1997 and promulgated 1 October 1997. Not an executive decree or strategy.</t>
        </is>
      </c>
      <c r="I19" s="3" t="n">
        <v>1</v>
      </c>
      <c r="J19" s="2" t="inlineStr">
        <is>
          <t>production, consumption, waste management, recycling, agriculture, industry, tourism, municipalities, fisheries, water, retail, transport</t>
        </is>
      </c>
      <c r="K19" s="3" t="n">
        <v>1</v>
      </c>
      <c r="L19" s="2" t="inlineStr">
        <is>
          <t>production, consumption, recycling, disposal, environmental leakage</t>
        </is>
      </c>
      <c r="M19" s="3" t="n">
        <v>0</v>
      </c>
      <c r="N19" s="2" t="inlineStr"/>
      <c r="O19" s="3">
        <f>AVERAGE(G19,I19,K19,M19,P19)</f>
        <v/>
      </c>
      <c r="P19" s="3" t="n">
        <v>0.6</v>
      </c>
      <c r="Q19" s="2" t="inlineStr">
        <is>
          <t>Production</t>
        </is>
      </c>
      <c r="R19" s="2" t="inlineStr">
        <is>
          <t>Art. 31: Government shall create economic or other incentives to encourage use of environmentally sound technologies and productive processes.</t>
        </is>
      </c>
      <c r="S19" s="3" t="n">
        <v>0</v>
      </c>
      <c r="T19" s="3" t="n">
        <v>0.25</v>
      </c>
      <c r="U19" s="2" t="inlineStr">
        <is>
          <t>'Compete ao Governo criar incentivos económicos ou de outra natureza com vista a encorajar a utilização de tecnologias e processos produtivos ambientalmente sãos.' Enabling power — incentives not yet specified or created in this Law.</t>
        </is>
      </c>
      <c r="V19" s="3">
        <f>AVERAGE(P19,T19)</f>
        <v/>
      </c>
      <c r="W19" s="2" t="inlineStr">
        <is>
          <t>Economic instrument enabling power. Could support clean production/recycling incentives but not operative until Government acts.</t>
        </is>
      </c>
    </row>
    <row r="20">
      <c r="A20" s="2" t="inlineStr">
        <is>
          <t>Lei do Ambiente (Lei n.º 20/97, de 1 de Outubro)</t>
        </is>
      </c>
      <c r="B20" s="2" t="inlineStr">
        <is>
          <t>not available</t>
        </is>
      </c>
      <c r="C20" s="2" t="n">
        <v>1997</v>
      </c>
      <c r="D20" s="2" t="inlineStr">
        <is>
          <t>Define the legal bases for correct use and management of the environment and its components, toward the materialisation of a system of sustainable development. The law establishes pollution prohibitions, environmental quality standards, licensing and EIA requirements, waste-related restrictions, inspection, and liability frameworks that apply to plastic pollution and waste streams.</t>
        </is>
      </c>
      <c r="E20" s="2" t="n">
        <v>0</v>
      </c>
      <c r="F20" s="2" t="inlineStr"/>
      <c r="G20" s="3" t="n">
        <v>1</v>
      </c>
      <c r="H20" s="2" t="inlineStr">
        <is>
          <t>Legislation enacted by the Assembleia da República (Law No. 20/97), approved 31 July 1997 and promulgated 1 October 1997. Not an executive decree or strategy.</t>
        </is>
      </c>
      <c r="I20" s="3" t="n">
        <v>1</v>
      </c>
      <c r="J20" s="2" t="inlineStr">
        <is>
          <t>production, consumption, waste management, recycling, agriculture, industry, tourism, municipalities, fisheries, water, retail, transport</t>
        </is>
      </c>
      <c r="K20" s="3" t="n">
        <v>1</v>
      </c>
      <c r="L20" s="2" t="inlineStr">
        <is>
          <t>production, consumption, recycling, disposal, environmental leakage</t>
        </is>
      </c>
      <c r="M20" s="3" t="n">
        <v>0</v>
      </c>
      <c r="N20" s="2" t="inlineStr"/>
      <c r="O20" s="3">
        <f>AVERAGE(G20,I20,K20,M20,P20)</f>
        <v/>
      </c>
      <c r="P20" s="3" t="n">
        <v>0.2</v>
      </c>
      <c r="Q20" s="2" t="inlineStr">
        <is>
          <t>Waste management</t>
        </is>
      </c>
      <c r="R20" s="2" t="inlineStr">
        <is>
          <t>Art. 33: Government shall adopt the regulatory measures necessary for effective implementation of this Law — enabling complementary regulation on waste management, standards, and sectoral rules.</t>
        </is>
      </c>
      <c r="S20" s="3" t="n">
        <v>0</v>
      </c>
      <c r="T20" s="3" t="n">
        <v>0.25</v>
      </c>
      <c r="U20" s="2" t="inlineStr">
        <is>
          <t>'Cabe ao Governo adoptar as medidas regulamentares necessárias à efectivação da presente Lei.' Enabling power for subordinate regulation.</t>
        </is>
      </c>
      <c r="V20" s="3">
        <f>AVERAGE(P20,T20)</f>
        <v/>
      </c>
      <c r="W20" s="2" t="inlineStr">
        <is>
          <t>Enabling power subsequently exercised via Decreto 94/2014 (urban solid waste), Decreto 16/2015 (plastic bags), and other decrees. Cross-reference 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Country</t>
        </is>
      </c>
      <c r="B2" t="inlineStr">
        <is>
          <t>Mozambique</t>
        </is>
      </c>
    </row>
    <row r="3">
      <c r="A3" t="inlineStr">
        <is>
          <t>Index</t>
        </is>
      </c>
      <c r="B3" t="inlineStr">
        <is>
          <t>4P Index v2</t>
        </is>
      </c>
    </row>
    <row r="4">
      <c r="A4" t="inlineStr">
        <is>
          <t>Policy</t>
        </is>
      </c>
      <c r="B4" t="inlineStr">
        <is>
          <t>Lei do Ambiente (Lei n.º 20/97, de 1 de Outubro)</t>
        </is>
      </c>
    </row>
    <row r="5">
      <c r="A5" t="inlineStr">
        <is>
          <t>Source</t>
        </is>
      </c>
      <c r="B5" t="inlineStr">
        <is>
          <t>User upload: Environmenmtal_law_75d0.pdf (Boletim da República scan)</t>
        </is>
      </c>
    </row>
    <row r="6">
      <c r="A6" t="inlineStr">
        <is>
          <t>Coding date</t>
        </is>
      </c>
      <c r="B6" t="inlineStr">
        <is>
          <t>June 2026</t>
        </is>
      </c>
    </row>
    <row r="7">
      <c r="A7" t="inlineStr">
        <is>
          <t>Total instrument rows</t>
        </is>
      </c>
      <c r="B7" t="n">
        <v>19</v>
      </c>
    </row>
    <row r="8">
      <c r="A8" t="inlineStr">
        <is>
          <t>Note</t>
        </is>
      </c>
      <c r="B8" t="inlineStr">
        <is>
          <t>Columns O and V use Excel formulas. policy_score = AVERAGE(G,I,K,M,P); instrument_score = AVERAGE(P,T). Only Lei 20/97 coded; pages 1 and 6 of upload contain other laws.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2026-06-18T12:02:33Z</dcterms:created>
  <dcterms:modified xmlns:dcterms="http://purl.org/dc/terms/" xmlns:xsi="http://www.w3.org/2001/XMLSchema-instance" xsi:type="dcterms:W3CDTF">2026-06-18T12:02:33Z</dcterms:modified>
</cp:coreProperties>
</file>