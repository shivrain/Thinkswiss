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Score Summary"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8" customWidth="1" min="3" max="3"/>
    <col width="35" customWidth="1" min="4" max="4"/>
    <col width="8" customWidth="1" min="5" max="5"/>
    <col width="3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42" customWidth="1" min="18" max="18"/>
    <col width="10" customWidth="1" min="19" max="19"/>
    <col width="10" customWidth="1" min="20" max="20"/>
    <col width="42" customWidth="1" min="21" max="21"/>
    <col width="9" customWidth="1" min="22" max="22"/>
    <col width="42" customWidth="1" min="23" max="23"/>
    <col width="25" customWidth="1" min="24" max="24"/>
  </cols>
  <sheetData>
    <row r="1" ht="22" customHeight="1">
      <c r="A1" s="1" t="inlineStr">
        <is>
          <t>Plastic Pollution Policy Index (4P Index) — Coding Table</t>
        </is>
      </c>
    </row>
    <row r="2" ht="16" customHeight="1">
      <c r="A2" s="2" t="inlineStr">
        <is>
          <t>Policy: The Sixteenth Plan (Fiscal Year 2024/25–2028/29)  |  Country: Nepal  |  Year: 2024  |  Source: http://elibrary.moest.gov.np/bitstream/...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20" customHeight="1">
      <c r="A5" s="7" t="inlineStr">
        <is>
          <t>The Sixteenth Plan (Fiscal Year 2024/25–2028/29)</t>
        </is>
      </c>
      <c r="B5" s="7" t="inlineStr">
        <is>
          <t>http://elibrary.moest.gov.np/bitstream/... [URL truncated in source image; document published by Government of Nepal, National Planning Commission, May 2024]</t>
        </is>
      </c>
      <c r="C5" s="8" t="n">
        <v>2024</v>
      </c>
      <c r="D5" s="7" t="inlineStr">
        <is>
          <t>Nepal's national five-year development plan for FY 2024/25–2028/29, setting targets for: discouraging the use of plastic materials and prohibiting burning plastics; controlling plastic items; displacing plastic products with green raw materials; imposing a landfill waste tax; constructing 17 integrated solid waste management centers and sanitary landfill sites in cities; implementing extended producer responsibility for producers and importers of industrial, hospital and hazardous waste; and prohibiting dumping of wastes in rivers and open burning in forests.</t>
        </is>
      </c>
      <c r="E5" s="9" t="n">
        <v>1</v>
      </c>
      <c r="F5" s="7" t="inlineStr">
        <is>
          <t>Section 7.6 Quantitative Targets (p. 134): 'Modern integrated solid waste management centers and sanitary landfill sites — FY 2022/23 actual: 1; FY 2028/29 target: 17.'</t>
        </is>
      </c>
      <c r="G5" s="9" t="n">
        <v>0.5</v>
      </c>
      <c r="H5" s="7" t="inlineStr">
        <is>
          <t>National five-year development plan formulated by the National Planning Commission of Nepal and published in May 2024. Issued under executive authority as a planning document — not enacted by Parliament. Contains quantifiable targets including waste management infrastructure targets (17 integrated solid waste management centers and landfill sites by FY 2028/29). Scored 0.50 (strategy/plan incorporating quantifiable targets), not 0.75 (regulation/decree) as it is a programmatic plan, not a binding sub-legislative regulation.</t>
        </is>
      </c>
      <c r="I5" s="9" t="n">
        <v>1</v>
      </c>
      <c r="J5" s="7" t="inlineStr">
        <is>
          <t>waste management, urbanization, municipalities, industry, environment, water, energy, agriculture, transport</t>
        </is>
      </c>
      <c r="K5" s="9" t="n">
        <v>0.75</v>
      </c>
      <c r="L5" s="7" t="inlineStr">
        <is>
          <t>consumption, recycling, disposal, environmental leakage</t>
        </is>
      </c>
      <c r="M5" s="9" t="n">
        <v>0.5</v>
      </c>
      <c r="N5" s="7" t="inlineStr">
        <is>
          <t>Table 2.6 (p. 44): Water supply, sewerage, waste management and recycling activities — total plan investment NPR 3,991 million (Public: NPR 2,091 million / 52.4%; Private: NPR 1,852 million / 46.4%; Cooperative: NPR 48 million / 1.2%). Total plan investment across all sectors (at FY 2023/24 prices): approx. NPR 11,481 billion, divided public sector 30.2%, private 67.2%, cooperative 2.6%. Budget exists for waste management and recycling sector but is not ring-fenced specifically for plastic.</t>
        </is>
      </c>
      <c r="O5" s="10">
        <f>AVERAGE(G5,I5,K5,M5,P5)</f>
        <v/>
      </c>
      <c r="P5" s="11" t="n">
        <v>1</v>
      </c>
      <c r="Q5" s="12" t="inlineStr">
        <is>
          <t>Consumption</t>
        </is>
      </c>
      <c r="R5" s="13" t="inlineStr">
        <is>
          <t>Chapter 7, Section 7.5, Item 10 (p. 133) — Integrated Urban Waste Management Program: 'Discourage the use of plastic materials and prohibit burning plastics.' Chapter 13, Section 13.5, Item 4 (p. 213) — Pollution Control Program: 'Control plastic items.' Chapter 13, Section 13.5, Item 1 (p. 212) — Green Economy Program: 'Increase the use of products based on green raw materials, displacing plastic products.' Three distinct plastic-specific commitments: (a) discourage use; (b) prohibit burning; (c) control/displace plastic items.</t>
        </is>
      </c>
      <c r="S5" s="13" t="n">
        <v>0</v>
      </c>
      <c r="T5" s="11" t="n">
        <v>0.5</v>
      </c>
      <c r="U5" s="12" t="inlineStr">
        <is>
          <t>Ch. 7, Sec. 7.5.10 (p. 133): 'Discourage the use of plastic materials and prohibit burning plastics.'
Ch. 13, Sec. 13.5.4 (p. 213): 'Control plastic items.'
Ch. 13, Sec. 13.5.1 (p. 212): 'Increase the use of products based on green raw materials, displacing plastic products.'
Responsible authority (+0.25): Appendix 1 designates Ministry of Urban Development (Ch.7 measures) and Ministry of Forests and Environment (Ch.13 measures) as implementing agencies.
Enforcement (−0): No explicit penalties for plastic use or burning stated in the plan text.
Monitoring (+0.25): Section 13.5.8: 'Expand measurement centers for climate, pollution, etc.' and Appendix 1 monitoring framework (Federal Parliament, NPC, OPMCM).
Unconditional (−0): 'Discourage' is aspirational; 'control plastic items' is open-ended; implementation flexibility exists.</t>
        </is>
      </c>
      <c r="V5" s="14">
        <f>AVERAGE(P5,T5)</f>
        <v/>
      </c>
      <c r="W5" s="12" t="inlineStr">
        <is>
          <t>Three plastic-specific commitments combined: (a) regulatory prohibition on burning (strongest), (b) administrative control of plastic items, and (c) information/economic displacement of plastic products. Highest type (regulatory, 1.0) applied per coding rules; dual nature noted. instrument_in_force = 0: plan-level commitments require subsequent implementing regulation — 'prohibit' in a national plan is not the same as an operative legal prohibition. The SWM Act 2011 and Environmental Protection Act 2019 provide existing legal backing for some of these measures, but the plan commits to new/strengthened measures. Q = Consumption selected as primary lifecycle stage since 'discourage use' and 'displace plastic products' target consumption; burning prohibition targets Waste management/End of life — noted here.</t>
        </is>
      </c>
      <c r="X5" s="15" t="inlineStr">
        <is>
          <t>Instrument 1 — Plastic use discouragement + prohibition on burning plastics + control of plastic items</t>
        </is>
      </c>
    </row>
    <row r="6" ht="220" customHeight="1">
      <c r="A6" s="7" t="inlineStr">
        <is>
          <t>The Sixteenth Plan (Fiscal Year 2024/25–2028/29)</t>
        </is>
      </c>
      <c r="B6" s="7" t="inlineStr">
        <is>
          <t>http://elibrary.moest.gov.np/bitstream/... [URL truncated in source image; document published by Government of Nepal, National Planning Commission, May 2024]</t>
        </is>
      </c>
      <c r="C6" s="8" t="n">
        <v>2024</v>
      </c>
      <c r="D6" s="7" t="inlineStr">
        <is>
          <t>Nepal's national five-year development plan for FY 2024/25–2028/29, setting targets for: discouraging the use of plastic materials and prohibiting burning plastics; controlling plastic items; displacing plastic products with green raw materials; imposing a landfill waste tax; constructing 17 integrated solid waste management centers and sanitary landfill sites in cities; implementing extended producer responsibility for producers and importers of industrial, hospital and hazardous waste; and prohibiting dumping of wastes in rivers and open burning in forests.</t>
        </is>
      </c>
      <c r="E6" s="9" t="n">
        <v>1</v>
      </c>
      <c r="F6" s="7" t="inlineStr">
        <is>
          <t>Section 7.6 Quantitative Targets (p. 134): 'Modern integrated solid waste management centers and sanitary landfill sites — FY 2022/23 actual: 1; FY 2028/29 target: 17.'</t>
        </is>
      </c>
      <c r="G6" s="9" t="n">
        <v>0.5</v>
      </c>
      <c r="H6" s="7" t="inlineStr">
        <is>
          <t>National five-year development plan formulated by the National Planning Commission of Nepal and published in May 2024. Issued under executive authority as a planning document — not enacted by Parliament. Contains quantifiable targets including waste management infrastructure targets (17 integrated solid waste management centers and landfill sites by FY 2028/29). Scored 0.50 (strategy/plan incorporating quantifiable targets), not 0.75 (regulation/decree) as it is a programmatic plan, not a binding sub-legislative regulation.</t>
        </is>
      </c>
      <c r="I6" s="9" t="n">
        <v>1</v>
      </c>
      <c r="J6" s="7" t="inlineStr">
        <is>
          <t>waste management, urbanization, municipalities, industry, environment, water, energy, agriculture, transport</t>
        </is>
      </c>
      <c r="K6" s="9" t="n">
        <v>0.75</v>
      </c>
      <c r="L6" s="7" t="inlineStr">
        <is>
          <t>consumption, recycling, disposal, environmental leakage</t>
        </is>
      </c>
      <c r="M6" s="9" t="n">
        <v>0.5</v>
      </c>
      <c r="N6" s="7" t="inlineStr">
        <is>
          <t>Table 2.6 (p. 44): Water supply, sewerage, waste management and recycling activities — total plan investment NPR 3,991 million (Public: NPR 2,091 million / 52.4%; Private: NPR 1,852 million / 46.4%; Cooperative: NPR 48 million / 1.2%). Total plan investment across all sectors (at FY 2023/24 prices): approx. NPR 11,481 billion, divided public sector 30.2%, private 67.2%, cooperative 2.6%. Budget exists for waste management and recycling sector but is not ring-fenced specifically for plastic.</t>
        </is>
      </c>
      <c r="O6" s="10">
        <f>AVERAGE(G6,I6,K6,M6,P6)</f>
        <v/>
      </c>
      <c r="P6" s="16" t="n">
        <v>0.8</v>
      </c>
      <c r="Q6" s="17" t="inlineStr">
        <is>
          <t>Waste management</t>
        </is>
      </c>
      <c r="R6" s="18" t="inlineStr">
        <is>
          <t>Chapter 7, Section 7.5, Items 9–10 (pp. 132–133) and Section 7.6 Target 8 (p. 134): Commits to developing waste treatment systems including waste treatment centers and sanitary landfill sites in all cities, with a target to increase from 1 to 17 modern integrated solid waste management centers by FY 2028/29. Also requires making 'arrangements for collecting biodegradable, non-biodegradable and recyclable wastes separately through local levels by developing separate standards for management of these wastes.' Section 13.5.4: 'Make waste management cost effective and sustainable by involving the private sector; utilize waste reduction, reuse and recycling.'</t>
        </is>
      </c>
      <c r="S6" s="18" t="n">
        <v>0</v>
      </c>
      <c r="T6" s="16" t="n">
        <v>0.5</v>
      </c>
      <c r="U6" s="17" t="inlineStr">
        <is>
          <t>Sec. 7.6 Target 8 (p. 134): 'Modern integrated solid waste management centers and sanitary landfill sites — FY 2022/23 actual: 1; FY 2028/29 target: 17.'
Sec. 7.5 Item 10 (p. 133): 'Develop waste treatment system, including management of waste treatment centers and landfill sites, in all cities. Make arrangements for collecting biodegradable, non-biodegradable and recyclable wastes separately...'
Responsible authority (+0.25): Appendix 1 designates Ministry of Urban Development and Ministry of Physical Infrastructure and Transport as implementing agencies.
Enforcement (−0): No explicit penalties for non-compliance with waste facility targets.
Monitoring (+0.25): Appendix 1 monitoring framework; semi-annual and annual progress reviews.
Unconditional (−0): 'In all cities' but implementation dependent on local capacity and resource availability — flexibility implied.</t>
        </is>
      </c>
      <c r="V6" s="14">
        <f>AVERAGE(P6,T6)</f>
        <v/>
      </c>
      <c r="W6" s="17" t="inlineStr">
        <is>
          <t>This instrument combines infrastructure (construction of 17 centers) and governance (separate waste collection standards). Highest type (Infrastructure, 0.80) applied. The quantitative target (1 → 17 centers) is the basis for policy_target = 1 at the policy level. The target directly covers plastic waste streams through 'non-biodegradable and recyclable waste' collection. Cross-reference: Chapter 13.4 strategy: 'Make waste management cost effective through public-private partnerships' — PPP modality for waste facilities is an additional governance element. S = 0: The plan commits to building these centers but the commitment is not an operative regulation; annual budgets and implementing regulations are needed.</t>
        </is>
      </c>
      <c r="X6" s="15" t="inlineStr">
        <is>
          <t>Instrument 2 — Urban waste management infrastructure (17 centers target) + separate collection standards</t>
        </is>
      </c>
    </row>
    <row r="7" ht="220" customHeight="1">
      <c r="A7" s="7" t="inlineStr">
        <is>
          <t>The Sixteenth Plan (Fiscal Year 2024/25–2028/29)</t>
        </is>
      </c>
      <c r="B7" s="7" t="inlineStr">
        <is>
          <t>http://elibrary.moest.gov.np/bitstream/... [URL truncated in source image; document published by Government of Nepal, National Planning Commission, May 2024]</t>
        </is>
      </c>
      <c r="C7" s="8" t="n">
        <v>2024</v>
      </c>
      <c r="D7" s="7" t="inlineStr">
        <is>
          <t>Nepal's national five-year development plan for FY 2024/25–2028/29, setting targets for: discouraging the use of plastic materials and prohibiting burning plastics; controlling plastic items; displacing plastic products with green raw materials; imposing a landfill waste tax; constructing 17 integrated solid waste management centers and sanitary landfill sites in cities; implementing extended producer responsibility for producers and importers of industrial, hospital and hazardous waste; and prohibiting dumping of wastes in rivers and open burning in forests.</t>
        </is>
      </c>
      <c r="E7" s="9" t="n">
        <v>1</v>
      </c>
      <c r="F7" s="7" t="inlineStr">
        <is>
          <t>Section 7.6 Quantitative Targets (p. 134): 'Modern integrated solid waste management centers and sanitary landfill sites — FY 2022/23 actual: 1; FY 2028/29 target: 17.'</t>
        </is>
      </c>
      <c r="G7" s="9" t="n">
        <v>0.5</v>
      </c>
      <c r="H7" s="7" t="inlineStr">
        <is>
          <t>National five-year development plan formulated by the National Planning Commission of Nepal and published in May 2024. Issued under executive authority as a planning document — not enacted by Parliament. Contains quantifiable targets including waste management infrastructure targets (17 integrated solid waste management centers and landfill sites by FY 2028/29). Scored 0.50 (strategy/plan incorporating quantifiable targets), not 0.75 (regulation/decree) as it is a programmatic plan, not a binding sub-legislative regulation.</t>
        </is>
      </c>
      <c r="I7" s="9" t="n">
        <v>1</v>
      </c>
      <c r="J7" s="7" t="inlineStr">
        <is>
          <t>waste management, urbanization, municipalities, industry, environment, water, energy, agriculture, transport</t>
        </is>
      </c>
      <c r="K7" s="9" t="n">
        <v>0.75</v>
      </c>
      <c r="L7" s="7" t="inlineStr">
        <is>
          <t>consumption, recycling, disposal, environmental leakage</t>
        </is>
      </c>
      <c r="M7" s="9" t="n">
        <v>0.5</v>
      </c>
      <c r="N7" s="7" t="inlineStr">
        <is>
          <t>Table 2.6 (p. 44): Water supply, sewerage, waste management and recycling activities — total plan investment NPR 3,991 million (Public: NPR 2,091 million / 52.4%; Private: NPR 1,852 million / 46.4%; Cooperative: NPR 48 million / 1.2%). Total plan investment across all sectors (at FY 2023/24 prices): approx. NPR 11,481 billion, divided public sector 30.2%, private 67.2%, cooperative 2.6%. Budget exists for waste management and recycling sector but is not ring-fenced specifically for plastic.</t>
        </is>
      </c>
      <c r="O7" s="10">
        <f>AVERAGE(G7,I7,K7,M7,P7)</f>
        <v/>
      </c>
      <c r="P7" s="11" t="n">
        <v>1</v>
      </c>
      <c r="Q7" s="12" t="inlineStr">
        <is>
          <t>End of life</t>
        </is>
      </c>
      <c r="R7" s="13" t="inlineStr">
        <is>
          <t>Chapter 13, Section 13.4, Transformative Strategy 3 (p. 224) — Controlling Pollution for a Healthy Society: 'Make producers or importers and polluters responsible for industrial, hospital and hazardous wastes management, as well as implement the concept of extended producer responsibility and cut down industrial emissions.' Also: 'Enforce the polluter pays principle.' This establishes EPR as a national policy priority applicable to producers and importers of plastic-containing industrial, hospital and hazardous waste products.</t>
        </is>
      </c>
      <c r="S7" s="13" t="n">
        <v>0</v>
      </c>
      <c r="T7" s="11" t="n">
        <v>0.5</v>
      </c>
      <c r="U7" s="12" t="inlineStr">
        <is>
          <t>Sec. 13.4, Strategy 3 (p. 224): 'Make producers or importers and polluters responsible for industrial, hospital and hazardous wastes management, as well as implement the concept of extended producer responsibility and cut down industrial emissions.'
'Enforce the polluter pays principle.'
Responsible authority (+0.25): Appendix 1 designates Ministry of Forests and Environment and Ministry of Finance as implementing agencies for Ch.13 programs.
Enforcement (−0): No specific penalties for EPR non-compliance stated in the plan.
Monitoring (+0.25): Appendix 1 quarterly/semi-annual/annual progress review; NPC oversight.
Unconditional (−0): EPR concept to be 'implemented' — future action without defined scope or sector-specific exemptions; breadth of coverage is unclear.</t>
        </is>
      </c>
      <c r="V7" s="14">
        <f>AVERAGE(P7,T7)</f>
        <v/>
      </c>
      <c r="W7" s="12" t="inlineStr">
        <is>
          <t>EPR is committed to as a 'concept' to be implemented, indicating this is an aspirational strategy rather than an operative EPR scheme. S = 0: no subordinate EPR regulation has been enacted under this plan yet. Passes plastics relevance filter under criterion (b) as it 'directly enables plastic-relevant policy actions — extended producer responsibility.' If a subsequent EPR regulation is enacted, S should be updated to 1. The 'polluter pays principle' enforcement commitment provides additional framing. Type coded as 1.0 (Regulatory/EPR obligation) because EPR when operationalised is a regulatory instrument; however, a case can be made for 0.20 (governance, planning requirement) since this is only a planning commitment at present.</t>
        </is>
      </c>
      <c r="X7" s="15" t="inlineStr">
        <is>
          <t>Instrument 3 — Extended Producer Responsibility (EPR) for producers/importers of industrial &amp; hazardous waste</t>
        </is>
      </c>
    </row>
    <row r="8" ht="220" customHeight="1">
      <c r="A8" s="7" t="inlineStr">
        <is>
          <t>The Sixteenth Plan (Fiscal Year 2024/25–2028/29)</t>
        </is>
      </c>
      <c r="B8" s="7" t="inlineStr">
        <is>
          <t>http://elibrary.moest.gov.np/bitstream/... [URL truncated in source image; document published by Government of Nepal, National Planning Commission, May 2024]</t>
        </is>
      </c>
      <c r="C8" s="8" t="n">
        <v>2024</v>
      </c>
      <c r="D8" s="7" t="inlineStr">
        <is>
          <t>Nepal's national five-year development plan for FY 2024/25–2028/29, setting targets for: discouraging the use of plastic materials and prohibiting burning plastics; controlling plastic items; displacing plastic products with green raw materials; imposing a landfill waste tax; constructing 17 integrated solid waste management centers and sanitary landfill sites in cities; implementing extended producer responsibility for producers and importers of industrial, hospital and hazardous waste; and prohibiting dumping of wastes in rivers and open burning in forests.</t>
        </is>
      </c>
      <c r="E8" s="9" t="n">
        <v>1</v>
      </c>
      <c r="F8" s="7" t="inlineStr">
        <is>
          <t>Section 7.6 Quantitative Targets (p. 134): 'Modern integrated solid waste management centers and sanitary landfill sites — FY 2022/23 actual: 1; FY 2028/29 target: 17.'</t>
        </is>
      </c>
      <c r="G8" s="9" t="n">
        <v>0.5</v>
      </c>
      <c r="H8" s="7" t="inlineStr">
        <is>
          <t>National five-year development plan formulated by the National Planning Commission of Nepal and published in May 2024. Issued under executive authority as a planning document — not enacted by Parliament. Contains quantifiable targets including waste management infrastructure targets (17 integrated solid waste management centers and landfill sites by FY 2028/29). Scored 0.50 (strategy/plan incorporating quantifiable targets), not 0.75 (regulation/decree) as it is a programmatic plan, not a binding sub-legislative regulation.</t>
        </is>
      </c>
      <c r="I8" s="9" t="n">
        <v>1</v>
      </c>
      <c r="J8" s="7" t="inlineStr">
        <is>
          <t>waste management, urbanization, municipalities, industry, environment, water, energy, agriculture, transport</t>
        </is>
      </c>
      <c r="K8" s="9" t="n">
        <v>0.75</v>
      </c>
      <c r="L8" s="7" t="inlineStr">
        <is>
          <t>consumption, recycling, disposal, environmental leakage</t>
        </is>
      </c>
      <c r="M8" s="9" t="n">
        <v>0.5</v>
      </c>
      <c r="N8" s="7" t="inlineStr">
        <is>
          <t>Table 2.6 (p. 44): Water supply, sewerage, waste management and recycling activities — total plan investment NPR 3,991 million (Public: NPR 2,091 million / 52.4%; Private: NPR 1,852 million / 46.4%; Cooperative: NPR 48 million / 1.2%). Total plan investment across all sectors (at FY 2023/24 prices): approx. NPR 11,481 billion, divided public sector 30.2%, private 67.2%, cooperative 2.6%. Budget exists for waste management and recycling sector but is not ring-fenced specifically for plastic.</t>
        </is>
      </c>
      <c r="O8" s="10">
        <f>AVERAGE(G8,I8,K8,M8,P8)</f>
        <v/>
      </c>
      <c r="P8" s="19" t="n">
        <v>0.6</v>
      </c>
      <c r="Q8" s="20" t="inlineStr">
        <is>
          <t>Waste management</t>
        </is>
      </c>
      <c r="R8" s="21" t="inlineStr">
        <is>
          <t>Chapter 13, Section 13.5, Item 4 (p. 213) — Pollution Control Program for Healthy Society: 'Impose tax on wastes disposed of in landfills.' This is an economic instrument (landfill charge/tax) that would apply to all solid waste deposited in landfills, including plastic waste, creating a financial incentive to reduce waste generation and increase recycling/diversion from landfill.</t>
        </is>
      </c>
      <c r="S8" s="21" t="n">
        <v>0</v>
      </c>
      <c r="T8" s="19" t="n">
        <v>0.75</v>
      </c>
      <c r="U8" s="20" t="inlineStr">
        <is>
          <t>Sec. 13.5, Item 4 (p. 213): 'Impose tax on wastes disposed of in landfills.'
Responsible authority (+0.25): Ministry of Finance and Ministry of Forests and Environment (Appendix 1 for Ch.13 programs) designated as implementing agencies.
Enforcement (−0): No explicit enforcement mechanism or penalty for non-payment of landfill tax stated in the plan; tax collection details not specified.
Monitoring (+0.25): Appendix 1 monitoring framework; revenue collection would be monitored through fiscal management systems.
Unconditional (+0.25): No exemptions or loopholes explicitly stated for the landfill tax in the plan text.</t>
        </is>
      </c>
      <c r="V8" s="14">
        <f>AVERAGE(P8,T8)</f>
        <v/>
      </c>
      <c r="W8" s="20" t="inlineStr">
        <is>
          <t>The landfill tax is a plan-level commitment — 'Impose tax' uses future-oriented imperative language but has not been enacted as a law/regulation yet. S = 0: requires legislative or regulatory action to implement. T = 0.75 because responsible authority, monitoring, and unconditional sub-scores are met; enforcement is not explicitly detailed. The landfill tax directly creates incentives to divert plastic waste from landfills and thereby passes the plastics relevance filter under criterion (c) (landfill charges). Revenue from this tax could fund waste management infrastructure, adding a self-financing element.</t>
        </is>
      </c>
      <c r="X8" s="15" t="inlineStr">
        <is>
          <t>Instrument 4 — Landfill waste tax</t>
        </is>
      </c>
    </row>
    <row r="9" ht="220" customHeight="1">
      <c r="A9" s="7" t="inlineStr">
        <is>
          <t>The Sixteenth Plan (Fiscal Year 2024/25–2028/29)</t>
        </is>
      </c>
      <c r="B9" s="7" t="inlineStr">
        <is>
          <t>http://elibrary.moest.gov.np/bitstream/... [URL truncated in source image; document published by Government of Nepal, National Planning Commission, May 2024]</t>
        </is>
      </c>
      <c r="C9" s="8" t="n">
        <v>2024</v>
      </c>
      <c r="D9" s="7" t="inlineStr">
        <is>
          <t>Nepal's national five-year development plan for FY 2024/25–2028/29, setting targets for: discouraging the use of plastic materials and prohibiting burning plastics; controlling plastic items; displacing plastic products with green raw materials; imposing a landfill waste tax; constructing 17 integrated solid waste management centers and sanitary landfill sites in cities; implementing extended producer responsibility for producers and importers of industrial, hospital and hazardous waste; and prohibiting dumping of wastes in rivers and open burning in forests.</t>
        </is>
      </c>
      <c r="E9" s="9" t="n">
        <v>1</v>
      </c>
      <c r="F9" s="7" t="inlineStr">
        <is>
          <t>Section 7.6 Quantitative Targets (p. 134): 'Modern integrated solid waste management centers and sanitary landfill sites — FY 2022/23 actual: 1; FY 2028/29 target: 17.'</t>
        </is>
      </c>
      <c r="G9" s="9" t="n">
        <v>0.5</v>
      </c>
      <c r="H9" s="7" t="inlineStr">
        <is>
          <t>National five-year development plan formulated by the National Planning Commission of Nepal and published in May 2024. Issued under executive authority as a planning document — not enacted by Parliament. Contains quantifiable targets including waste management infrastructure targets (17 integrated solid waste management centers and landfill sites by FY 2028/29). Scored 0.50 (strategy/plan incorporating quantifiable targets), not 0.75 (regulation/decree) as it is a programmatic plan, not a binding sub-legislative regulation.</t>
        </is>
      </c>
      <c r="I9" s="9" t="n">
        <v>1</v>
      </c>
      <c r="J9" s="7" t="inlineStr">
        <is>
          <t>waste management, urbanization, municipalities, industry, environment, water, energy, agriculture, transport</t>
        </is>
      </c>
      <c r="K9" s="9" t="n">
        <v>0.75</v>
      </c>
      <c r="L9" s="7" t="inlineStr">
        <is>
          <t>consumption, recycling, disposal, environmental leakage</t>
        </is>
      </c>
      <c r="M9" s="9" t="n">
        <v>0.5</v>
      </c>
      <c r="N9" s="7" t="inlineStr">
        <is>
          <t>Table 2.6 (p. 44): Water supply, sewerage, waste management and recycling activities — total plan investment NPR 3,991 million (Public: NPR 2,091 million / 52.4%; Private: NPR 1,852 million / 46.4%; Cooperative: NPR 48 million / 1.2%). Total plan investment across all sectors (at FY 2023/24 prices): approx. NPR 11,481 billion, divided public sector 30.2%, private 67.2%, cooperative 2.6%. Budget exists for waste management and recycling sector but is not ring-fenced specifically for plastic.</t>
        </is>
      </c>
      <c r="O9" s="10">
        <f>AVERAGE(G9,I9,K9,M9,P9)</f>
        <v/>
      </c>
      <c r="P9" s="11" t="n">
        <v>1</v>
      </c>
      <c r="Q9" s="12" t="inlineStr">
        <is>
          <t>Environmental leakage</t>
        </is>
      </c>
      <c r="R9" s="13" t="inlineStr">
        <is>
          <t>Chapter 13, Section 13.5, Item 4 (p. 213) — Pollution Control Program: 'Prohibit dumping wastes in streams and rivers or burning in forests and open areas.' This directly targets environmental leakage of waste, including plastic waste, into aquatic and terrestrial environments. It also reinforces the plastic burning prohibition from Chapter 7 in the context of environmental protection and pollution control.</t>
        </is>
      </c>
      <c r="S9" s="13" t="n">
        <v>0</v>
      </c>
      <c r="T9" s="11" t="n">
        <v>0.75</v>
      </c>
      <c r="U9" s="12" t="inlineStr">
        <is>
          <t>Sec. 13.5, Item 4 (p. 213): 'Prohibit dumping wastes in streams and rivers or burning in forests and open areas.'
Sec. 13.2 (p. 207): 'open disposal of urban and industrial wastes or dumping in rivers have caused environmental pollution and affected biodiversity' — contextual evidence for this prohibition.
Responsible authority (+0.25): Ministry of Forests and Environment (Appendix 1, Ch.13).
Enforcement (−0): No explicit penalties or enforcement mechanism stated for this prohibition in the plan text.
Monitoring (+0.25): Sec. 13.5.8: 'Expand measurement centers for climate, pollution, etc.' and Appendix 1 monitoring.
Unconditional (+0.25): No exemptions stated for the dumping/burning prohibition.</t>
        </is>
      </c>
      <c r="V9" s="14">
        <f>AVERAGE(P9,T9)</f>
        <v/>
      </c>
      <c r="W9" s="12" t="inlineStr">
        <is>
          <t>This is the strongest environmental leakage instrument in the plan. 'Prohibit' uses mandatory language but within a planning document — S = 0 as the plan commits to enacting/enforcing this prohibition but has not yet operationalised it through a specific binding regulation. The SWM Act 2011 and Environmental Protection Act 2019 contain related provisions; this plan commits to strengthening/reinforcing those existing measures. T = 0.75 (no enforcement sub-score) because no specific penalties are stated for violations of this commitment in the plan text. Cross-reference: Ch.7 Sec.7.5.9 mandates 'cleaning of river sources and conservation program' including mandatory sewerage treatment — a related instrument.</t>
        </is>
      </c>
      <c r="X9" s="15" t="inlineStr">
        <is>
          <t>Instrument 5 — Waste disposal prohibition (dumping in rivers; burning in open areas)</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5" customWidth="1" min="1" max="1"/>
    <col width="12" customWidth="1" min="2" max="2"/>
    <col width="12" customWidth="1" min="3" max="3"/>
    <col width="12" customWidth="1" min="4" max="4"/>
    <col width="12" customWidth="1" min="5" max="5"/>
  </cols>
  <sheetData>
    <row r="1" ht="32" customHeight="1">
      <c r="A1" s="3" t="inlineStr">
        <is>
          <t>SCORE SUMMARY</t>
        </is>
      </c>
    </row>
    <row r="2" ht="32" customHeight="1">
      <c r="A2" s="22" t="inlineStr">
        <is>
          <t>Instrument</t>
        </is>
      </c>
      <c r="B2" s="22" t="inlineStr">
        <is>
          <t>P (type)</t>
        </is>
      </c>
      <c r="C2" s="22" t="inlineStr">
        <is>
          <t>S (in force)</t>
        </is>
      </c>
      <c r="D2" s="22" t="inlineStr">
        <is>
          <t>T (impl.)</t>
        </is>
      </c>
      <c r="E2" s="22" t="inlineStr">
        <is>
          <t>V (score [auto])</t>
        </is>
      </c>
    </row>
    <row r="3" ht="32" customHeight="1">
      <c r="A3" s="23" t="inlineStr">
        <is>
          <t>1 — Plastic use discouragement + prohibition on burning plastics + control of plastic items</t>
        </is>
      </c>
      <c r="B3" s="23" t="inlineStr">
        <is>
          <t>1.00</t>
        </is>
      </c>
      <c r="C3" s="23" t="inlineStr">
        <is>
          <t>0</t>
        </is>
      </c>
      <c r="D3" s="23" t="inlineStr">
        <is>
          <t>0.50</t>
        </is>
      </c>
      <c r="E3" s="23" t="inlineStr">
        <is>
          <t>0.750</t>
        </is>
      </c>
    </row>
    <row r="4" ht="32" customHeight="1">
      <c r="A4" s="23" t="inlineStr">
        <is>
          <t>2 — Urban waste management infrastructure (17 centers target) + separate collection standards</t>
        </is>
      </c>
      <c r="B4" s="23" t="inlineStr">
        <is>
          <t>0.80</t>
        </is>
      </c>
      <c r="C4" s="23" t="inlineStr">
        <is>
          <t>0</t>
        </is>
      </c>
      <c r="D4" s="23" t="inlineStr">
        <is>
          <t>0.50</t>
        </is>
      </c>
      <c r="E4" s="23" t="inlineStr">
        <is>
          <t>0.650</t>
        </is>
      </c>
    </row>
    <row r="5" ht="32" customHeight="1">
      <c r="A5" s="23" t="inlineStr">
        <is>
          <t>3 — EPR for producers/importers of industrial and hazardous waste</t>
        </is>
      </c>
      <c r="B5" s="23" t="inlineStr">
        <is>
          <t>1.00</t>
        </is>
      </c>
      <c r="C5" s="23" t="inlineStr">
        <is>
          <t>0</t>
        </is>
      </c>
      <c r="D5" s="23" t="inlineStr">
        <is>
          <t>0.50</t>
        </is>
      </c>
      <c r="E5" s="23" t="inlineStr">
        <is>
          <t>0.750</t>
        </is>
      </c>
    </row>
    <row r="6" ht="32" customHeight="1">
      <c r="A6" s="23" t="inlineStr">
        <is>
          <t>4 — Landfill waste tax</t>
        </is>
      </c>
      <c r="B6" s="23" t="inlineStr">
        <is>
          <t>0.60</t>
        </is>
      </c>
      <c r="C6" s="23" t="inlineStr">
        <is>
          <t>0</t>
        </is>
      </c>
      <c r="D6" s="23" t="inlineStr">
        <is>
          <t>0.75</t>
        </is>
      </c>
      <c r="E6" s="23" t="inlineStr">
        <is>
          <t>0.675</t>
        </is>
      </c>
    </row>
    <row r="7" ht="32" customHeight="1">
      <c r="A7" s="23" t="inlineStr">
        <is>
          <t>5 — Waste disposal prohibition (dumping in rivers; burning in open areas)</t>
        </is>
      </c>
      <c r="B7" s="23" t="inlineStr">
        <is>
          <t>1.00</t>
        </is>
      </c>
      <c r="C7" s="23" t="inlineStr">
        <is>
          <t>0</t>
        </is>
      </c>
      <c r="D7" s="23" t="inlineStr">
        <is>
          <t>0.75</t>
        </is>
      </c>
      <c r="E7" s="23" t="inlineStr">
        <is>
          <t>0.875</t>
        </is>
      </c>
    </row>
    <row r="8" ht="32" customHeight="1"/>
    <row r="9" ht="32" customHeight="1">
      <c r="A9" s="3" t="inlineStr">
        <is>
          <t>POLICY-LEVEL SCORES</t>
        </is>
      </c>
    </row>
    <row r="10" ht="32" customHeight="1">
      <c r="A10" s="22" t="inlineStr">
        <is>
          <t>Field</t>
        </is>
      </c>
      <c r="B10" s="22" t="inlineStr">
        <is>
          <t>Value</t>
        </is>
      </c>
    </row>
    <row r="11" ht="32" customHeight="1">
      <c r="A11" s="23" t="inlineStr">
        <is>
          <t>policy_type (G)</t>
        </is>
      </c>
      <c r="B11" s="23" t="inlineStr">
        <is>
          <t>0.50  (strategy/plan with quantifiable targets)</t>
        </is>
      </c>
    </row>
    <row r="12" ht="32" customHeight="1">
      <c r="A12" s="23" t="inlineStr">
        <is>
          <t>policy_target (E)</t>
        </is>
      </c>
      <c r="B12" s="23" t="inlineStr">
        <is>
          <t>1  — Target 8: waste management centers 1 → 17 by FY 2028/29</t>
        </is>
      </c>
    </row>
    <row r="13" ht="32" customHeight="1">
      <c r="A13" s="23" t="inlineStr">
        <is>
          <t>policy_integration (I)</t>
        </is>
      </c>
      <c r="B13" s="23" t="inlineStr">
        <is>
          <t>1.00  (9 sectors)</t>
        </is>
      </c>
    </row>
    <row r="14" ht="32" customHeight="1">
      <c r="A14" s="23" t="inlineStr">
        <is>
          <t>policy_circularity (K)</t>
        </is>
      </c>
      <c r="B14" s="23" t="inlineStr">
        <is>
          <t>0.75  (4 lifecycle phases: consumption, recycling, disposal, environmental leakage)</t>
        </is>
      </c>
    </row>
    <row r="15" ht="32" customHeight="1">
      <c r="A15" s="23" t="inlineStr">
        <is>
          <t>policy_budget (M)</t>
        </is>
      </c>
      <c r="B15" s="23" t="inlineStr">
        <is>
          <t>0.50  (NPR 3,991 million allocated to waste management &amp; recycling sector; not ring-fenced for plastic)</t>
        </is>
      </c>
    </row>
    <row r="16" ht="32" customHeight="1">
      <c r="A16" s="23" t="inlineStr">
        <is>
          <t>policy_score (O)</t>
        </is>
      </c>
      <c r="B16" s="23" t="inlineStr">
        <is>
          <t>[auto] = AVERAGE(G, I, K, M, P per row)</t>
        </is>
      </c>
    </row>
    <row r="17" ht="32" customHeight="1"/>
    <row r="18" ht="32" customHeight="1">
      <c r="A18" s="3" t="inlineStr">
        <is>
          <t>KEY VERBATIM EVIDENCE — PLASTIC-RELEVANT PASSAGES</t>
        </is>
      </c>
    </row>
    <row r="19" ht="32" customHeight="1">
      <c r="A19" s="22" t="inlineStr">
        <is>
          <t>Location</t>
        </is>
      </c>
      <c r="B19" s="22" t="inlineStr">
        <is>
          <t>Verbatim text</t>
        </is>
      </c>
    </row>
    <row r="20" ht="32" customHeight="1">
      <c r="A20" s="23" t="inlineStr">
        <is>
          <t>Ch.7, Sec.7.5.10 (p.133) — Plastic ban</t>
        </is>
      </c>
      <c r="B20" s="23" t="inlineStr">
        <is>
          <t>'Discourage the use of plastic materials and prohibit burning plastics.'</t>
        </is>
      </c>
    </row>
    <row r="21" ht="32" customHeight="1">
      <c r="A21" s="23" t="inlineStr">
        <is>
          <t>Ch.7, Sec.7.6, Target 8 (p.134) — Quantitative target</t>
        </is>
      </c>
      <c r="B21" s="23" t="inlineStr">
        <is>
          <t>'Modern integrated solid waste management centers and sanitary landfill sites: FY 2022/23 actual: 1; FY 2028/29 target: 17.'</t>
        </is>
      </c>
    </row>
    <row r="22" ht="32" customHeight="1">
      <c r="A22" s="23" t="inlineStr">
        <is>
          <t>Ch.13, Sec.13.4, Strategy 3 (p.224) — EPR</t>
        </is>
      </c>
      <c r="B22" s="23" t="inlineStr">
        <is>
          <t>'Make producers or importers and polluters responsible for industrial, hospital and hazardous wastes management, as well as implement the concept of extended producer responsibility and cut down industrial emissions.'</t>
        </is>
      </c>
    </row>
    <row r="23" ht="32" customHeight="1">
      <c r="A23" s="23" t="inlineStr">
        <is>
          <t>Ch.13, Sec.13.5, Item 1 (p.212) — Displace plastics</t>
        </is>
      </c>
      <c r="B23" s="23" t="inlineStr">
        <is>
          <t>'Increase the use of products based on green raw materials, displacing plastic products.'</t>
        </is>
      </c>
    </row>
    <row r="24" ht="32" customHeight="1">
      <c r="A24" s="23" t="inlineStr">
        <is>
          <t>Ch.13, Sec.13.5, Item 4 (p.213) — Waste tax + plastic control + river ban</t>
        </is>
      </c>
      <c r="B24" s="23" t="inlineStr">
        <is>
          <t>'Make waste management cost effective and sustainable by involving the private sector; utilize waste reduction, reuse and recycling. Prohibit dumping wastes in streams and rivers or burning in forests and open areas. Impose tax on wastes disposed of in landfills. Control plastic items.'</t>
        </is>
      </c>
    </row>
    <row r="25" ht="32" customHeight="1">
      <c r="A25" s="23" t="inlineStr">
        <is>
          <t>Ch.13, Sec.13.4, Strategy 3 (p.224) — Polluter pays</t>
        </is>
      </c>
      <c r="B25" s="23" t="inlineStr">
        <is>
          <t>'Enforce the polluter pays principle. Make waste management cost effective through public-private partnerships.'</t>
        </is>
      </c>
    </row>
  </sheetData>
  <mergeCells count="3">
    <mergeCell ref="A1:E1"/>
    <mergeCell ref="A9:E9"/>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 no concrete targets</t>
        </is>
      </c>
    </row>
    <row r="4" ht="18" customHeight="1">
      <c r="A4" s="26" t="n">
        <v>0.5</v>
      </c>
      <c r="B4" s="27" t="inlineStr">
        <is>
          <t>Strategy/plan — incorporates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POLICY INTEGRATION (Col I)</t>
        </is>
      </c>
    </row>
    <row r="9" ht="18" customHeight="1">
      <c r="A9" s="25" t="inlineStr">
        <is>
          <t>Score</t>
        </is>
      </c>
      <c r="B9" s="25" t="inlineStr">
        <is>
          <t>Description</t>
        </is>
      </c>
    </row>
    <row r="10" ht="18" customHeight="1">
      <c r="A10" s="26" t="n">
        <v>0</v>
      </c>
      <c r="B10" s="27" t="inlineStr">
        <is>
          <t>0 sectors</t>
        </is>
      </c>
    </row>
    <row r="11" ht="18" customHeight="1">
      <c r="A11" s="26" t="n">
        <v>0.25</v>
      </c>
      <c r="B11" s="27" t="inlineStr">
        <is>
          <t>1–2 sectors</t>
        </is>
      </c>
    </row>
    <row r="12" ht="18" customHeight="1">
      <c r="A12" s="26" t="n">
        <v>0.5</v>
      </c>
      <c r="B12" s="27" t="inlineStr">
        <is>
          <t>3–4 sectors</t>
        </is>
      </c>
    </row>
    <row r="13" ht="18" customHeight="1">
      <c r="A13" s="26" t="n">
        <v>0.75</v>
      </c>
      <c r="B13" s="27" t="inlineStr">
        <is>
          <t>5–6 sectors</t>
        </is>
      </c>
    </row>
    <row r="14" ht="18" customHeight="1">
      <c r="A14" s="26" t="n">
        <v>1</v>
      </c>
      <c r="B14" s="27" t="inlineStr">
        <is>
          <t>7+ sectors</t>
        </is>
      </c>
    </row>
    <row r="15" ht="18" customHeight="1">
      <c r="A15" s="27" t="inlineStr"/>
    </row>
    <row r="16" ht="18" customHeight="1">
      <c r="A16" s="24" t="inlineStr">
        <is>
          <t>POLICY CIRCULARITY (Col K)</t>
        </is>
      </c>
    </row>
    <row r="17" ht="18" customHeight="1">
      <c r="A17" s="25" t="inlineStr">
        <is>
          <t>Score</t>
        </is>
      </c>
      <c r="B17" s="25" t="inlineStr">
        <is>
          <t>Description</t>
        </is>
      </c>
    </row>
    <row r="18" ht="18" customHeight="1">
      <c r="A18" s="26" t="n">
        <v>0.25</v>
      </c>
      <c r="B18" s="27" t="inlineStr">
        <is>
          <t>1 lifecycle phase</t>
        </is>
      </c>
    </row>
    <row r="19" ht="18" customHeight="1">
      <c r="A19" s="26" t="n">
        <v>0.5</v>
      </c>
      <c r="B19" s="27" t="inlineStr">
        <is>
          <t>2 lifecycle phases</t>
        </is>
      </c>
    </row>
    <row r="20" ht="18" customHeight="1">
      <c r="A20" s="26" t="n">
        <v>0.75</v>
      </c>
      <c r="B20" s="27" t="inlineStr">
        <is>
          <t>3–4 lifecycle phases</t>
        </is>
      </c>
    </row>
    <row r="21" ht="18" customHeight="1">
      <c r="A21" s="26" t="n">
        <v>1</v>
      </c>
      <c r="B21" s="27" t="inlineStr">
        <is>
          <t>All 5 phases</t>
        </is>
      </c>
    </row>
    <row r="22" ht="18" customHeight="1">
      <c r="A22" s="27" t="inlineStr"/>
    </row>
    <row r="23" ht="18" customHeight="1">
      <c r="A23" s="24" t="inlineStr">
        <is>
          <t>POLICY BUDGET (Col M)</t>
        </is>
      </c>
    </row>
    <row r="24" ht="18" customHeight="1">
      <c r="A24" s="25" t="inlineStr">
        <is>
          <t>Score</t>
        </is>
      </c>
      <c r="B24" s="25" t="inlineStr">
        <is>
          <t>Description</t>
        </is>
      </c>
    </row>
    <row r="25" ht="18" customHeight="1">
      <c r="A25" s="26" t="n">
        <v>0</v>
      </c>
      <c r="B25" s="27" t="inlineStr">
        <is>
          <t>No budget</t>
        </is>
      </c>
    </row>
    <row r="26" ht="18" customHeight="1">
      <c r="A26" s="26" t="n">
        <v>0.5</v>
      </c>
      <c r="B26" s="27" t="inlineStr">
        <is>
          <t>Budget mentioned, not ring-fenced</t>
        </is>
      </c>
    </row>
    <row r="27" ht="18" customHeight="1">
      <c r="A27" s="26" t="n">
        <v>1</v>
      </c>
      <c r="B27" s="27" t="inlineStr">
        <is>
          <t>Ring-fenced / self-generating fund</t>
        </is>
      </c>
    </row>
    <row r="28" ht="18" customHeight="1">
      <c r="A28" s="27" t="inlineStr"/>
    </row>
    <row r="29" ht="18" customHeight="1">
      <c r="A29" s="24" t="inlineStr">
        <is>
          <t>INSTRUMENT TYPE (Col P)</t>
        </is>
      </c>
    </row>
    <row r="30" ht="18" customHeight="1">
      <c r="A30" s="25" t="inlineStr">
        <is>
          <t>Score</t>
        </is>
      </c>
      <c r="B30" s="25" t="inlineStr">
        <is>
          <t>Description</t>
        </is>
      </c>
    </row>
    <row r="31" ht="18" customHeight="1">
      <c r="A31" s="26" t="n">
        <v>0</v>
      </c>
      <c r="B31" s="27" t="inlineStr">
        <is>
          <t>No instrument</t>
        </is>
      </c>
    </row>
    <row r="32" ht="18" customHeight="1">
      <c r="A32" s="26" t="n">
        <v>0.2</v>
      </c>
      <c r="B32" s="27" t="inlineStr">
        <is>
          <t>Governance &amp; coordination</t>
        </is>
      </c>
    </row>
    <row r="33" ht="18" customHeight="1">
      <c r="A33" s="26" t="n">
        <v>0.4</v>
      </c>
      <c r="B33" s="27" t="inlineStr">
        <is>
          <t>Information &amp; voluntary</t>
        </is>
      </c>
    </row>
    <row r="34" ht="18" customHeight="1">
      <c r="A34" s="26" t="n">
        <v>0.6</v>
      </c>
      <c r="B34" s="27" t="inlineStr">
        <is>
          <t>Economic (tax, levy, subsidy)</t>
        </is>
      </c>
    </row>
    <row r="35" ht="18" customHeight="1">
      <c r="A35" s="26" t="n">
        <v>0.8</v>
      </c>
      <c r="B35" s="27" t="inlineStr">
        <is>
          <t>Infrastructure</t>
        </is>
      </c>
    </row>
    <row r="36" ht="18" customHeight="1">
      <c r="A36" s="26" t="n">
        <v>1</v>
      </c>
      <c r="B36" s="27" t="inlineStr">
        <is>
          <t>Regulatory (ban, EPR, mandatory standard)</t>
        </is>
      </c>
    </row>
    <row r="37" ht="18" customHeight="1">
      <c r="A37" s="27" t="inlineStr"/>
    </row>
    <row r="38" ht="18" customHeight="1">
      <c r="A38" s="24" t="inlineStr">
        <is>
          <t>INSTRUMENT IN FORCE (Col S)</t>
        </is>
      </c>
    </row>
    <row r="39" ht="18" customHeight="1">
      <c r="A39" s="25" t="inlineStr">
        <is>
          <t>Score</t>
        </is>
      </c>
      <c r="B39" s="25" t="inlineStr">
        <is>
          <t>Description</t>
        </is>
      </c>
    </row>
    <row r="40" ht="18" customHeight="1">
      <c r="A40" s="26" t="n">
        <v>0</v>
      </c>
      <c r="B40" s="27" t="inlineStr">
        <is>
          <t>Not in force — plan-level commitment, enabling power not yet operationalised</t>
        </is>
      </c>
    </row>
    <row r="41" ht="18" customHeight="1">
      <c r="A41" s="26" t="n">
        <v>1</v>
      </c>
      <c r="B41" s="27" t="inlineStr">
        <is>
          <t>In force — mandatory language (shall/must/prohibited) or operationalised by subordinate instrument</t>
        </is>
      </c>
    </row>
    <row r="42" ht="18" customHeight="1">
      <c r="A42" s="27" t="inlineStr"/>
    </row>
    <row r="43" ht="18" customHeight="1">
      <c r="A43" s="24" t="inlineStr">
        <is>
          <t>INSTRUMENT IMPLEMENTATION (Col T — additive)</t>
        </is>
      </c>
    </row>
    <row r="44" ht="18" customHeight="1">
      <c r="A44" s="25" t="inlineStr">
        <is>
          <t>Sub-score</t>
        </is>
      </c>
      <c r="B44" s="25" t="inlineStr">
        <is>
          <t>Criterion (must be explicitly evidenced)</t>
        </is>
      </c>
    </row>
    <row r="45" ht="18" customHeight="1">
      <c r="A45" s="27" t="inlineStr">
        <is>
          <t>+0.25</t>
        </is>
      </c>
      <c r="B45" s="27" t="inlineStr">
        <is>
          <t>Responsible authority designated</t>
        </is>
      </c>
    </row>
    <row r="46" ht="18" customHeight="1">
      <c r="A46" s="27" t="inlineStr">
        <is>
          <t>+0.25</t>
        </is>
      </c>
      <c r="B46" s="27" t="inlineStr">
        <is>
          <t>Enforcement (fines/penalties)</t>
        </is>
      </c>
    </row>
    <row r="47" ht="18" customHeight="1">
      <c r="A47" s="27" t="inlineStr">
        <is>
          <t>+0.25</t>
        </is>
      </c>
      <c r="B47" s="27" t="inlineStr">
        <is>
          <t>Monitoring mechanism</t>
        </is>
      </c>
    </row>
    <row r="48" ht="18" customHeight="1">
      <c r="A48" s="27" t="inlineStr">
        <is>
          <t>+0.25</t>
        </is>
      </c>
      <c r="B48" s="27" t="inlineStr">
        <is>
          <t>Unconditional (no exemptions)</t>
        </is>
      </c>
    </row>
  </sheetData>
  <mergeCells count="7">
    <mergeCell ref="A38:B38"/>
    <mergeCell ref="A16:B16"/>
    <mergeCell ref="A29:B29"/>
    <mergeCell ref="A43:B43"/>
    <mergeCell ref="A1:B1"/>
    <mergeCell ref="A23:B23"/>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2026-06-10T09:44:50Z</dcterms:created>
  <dcterms:modified xsi:type="dcterms:W3CDTF">2026-06-10T09:44:50Z</dcterms:modified>
</cp:coreProperties>
</file>