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Senegalese Standard NS 05-061 — Wastewater discharges (July 2001)</t>
        </is>
      </c>
      <c r="B2" s="2" t="inlineStr">
        <is>
          <t>https://www.denv.gouv.sn/telechargement/74/normes-cadre-juridique/19105/norme-rejets-ns-05-061-eaux-usees-juillet-2001.pdf</t>
        </is>
      </c>
      <c r="C2" s="2" t="n">
        <v>2001</v>
      </c>
      <c r="D2" s="2" t="inlineStr">
        <is>
          <t>Set limit values, prohibitions, monitoring modalities and discharge criteria for industrial and domestic wastewater into receiving environments, complementing Decree No. 2001-282 — indirectly controlling plastic-related industrial effluents through physico-chemical parameters (TSS, COD, BOD5, TOC, micropollutants) without plastic-specific measures.</t>
        </is>
      </c>
      <c r="E2" s="2" t="n">
        <v>1</v>
      </c>
      <c r="F2" s="2" t="inlineStr">
        <is>
          <t>Total suspended solids: 50 mg/l; BOD5: 80 mg/l (daily load ≤30 kg/d) or 40 mg/l beyond; COD: 200 mg/l (daily load ≤100 kg/d) or 100 mg/l beyond; total hydrocarbons: 15 mg/l if discharge exceeds 150 g/d.</t>
        </is>
      </c>
      <c r="G2" s="2" t="n">
        <v>0.75</v>
      </c>
      <c r="H2" s="2" t="inlineStr">
        <is>
          <t>Official technical standard adopted in July 2001 by the ISN/CT5 standardisation committee, published by the Senegalese Standardisation Institute, complementing Decree No. 2001-282. Operative technical regulation of reference for effluent discharges (≠1.0 law).</t>
        </is>
      </c>
      <c r="I2" s="2" t="n">
        <v>0.75</v>
      </c>
      <c r="J2" s="2" t="inlineStr">
        <is>
          <t>industry, sanitation, environment, water, fisheries, agriculture, waste management</t>
        </is>
      </c>
      <c r="K2" s="2" t="n">
        <v>0.75</v>
      </c>
      <c r="L2" s="2" t="inlineStr">
        <is>
          <t>production, disposal, environmental leakage</t>
        </is>
      </c>
      <c r="M2" s="2" t="n">
        <v>0.5</v>
      </c>
      <c r="N2" s="2" t="inlineStr">
        <is>
          <t>Ch. 3 §1.4-1.5: determination of effluent pollution degree and tax rate payable by operator; fee calculation set out in interministerial order on application of this standard.</t>
        </is>
      </c>
      <c r="O2" s="3">
        <f>AVERAGE(G2,I2,K2,M2,P2)</f>
        <v/>
      </c>
      <c r="P2" s="2" t="n">
        <v>1</v>
      </c>
      <c r="Q2" s="2" t="inlineStr">
        <is>
          <t>Environmental leakage</t>
        </is>
      </c>
      <c r="R2" s="2" t="inlineStr">
        <is>
          <t>§5.1: any discharge of liquid effluents causing stagnation, neighbourhood nuisance, or pollution of surface, groundwater or marine waters is prohibited throughout the national territory.</t>
        </is>
      </c>
      <c r="S2" s="2" t="n">
        <v>1</v>
      </c>
      <c r="T2" s="2" t="n">
        <v>0.75</v>
      </c>
      <c r="U2" s="2" t="inlineStr">
        <is>
          <t>Ch. 3 §1.1-1.2: sampling and analyses by Environment Directorate technicians or designated entity (+0.25 authority); §1.7: enhanced monitoring when Annex II thresholds exceeded (+0.25 monitoring); Ch. 3 §1.4: results determine tax rate payable by operator (+0.25 enforcement).</t>
        </is>
      </c>
      <c r="V2" s="3">
        <f>AVERAGE(P2,T2)</f>
        <v/>
      </c>
      <c r="W2" s="2" t="inlineStr">
        <is>
          <t>General prohibition applicable to plastic-industry effluent discharges. No explicit plastics mention.</t>
        </is>
      </c>
    </row>
    <row r="3">
      <c r="A3" s="2" t="inlineStr">
        <is>
          <t>Senegalese Standard NS 05-061 — Wastewater discharges (July 2001)</t>
        </is>
      </c>
      <c r="B3" s="2" t="inlineStr">
        <is>
          <t>https://www.denv.gouv.sn/telechargement/74/normes-cadre-juridique/19105/norme-rejets-ns-05-061-eaux-usees-juillet-2001.pdf</t>
        </is>
      </c>
      <c r="C3" s="2" t="n">
        <v>2001</v>
      </c>
      <c r="D3" s="2" t="inlineStr">
        <is>
          <t>Set limit values, prohibitions, monitoring modalities and discharge criteria for industrial and domestic wastewater into receiving environments, complementing Decree No. 2001-282 — indirectly controlling plastic-related industrial effluents through physico-chemical parameters (TSS, COD, BOD5, TOC, micropollutants) without plastic-specific measures.</t>
        </is>
      </c>
      <c r="E3" s="2" t="n">
        <v>1</v>
      </c>
      <c r="F3" s="2" t="inlineStr">
        <is>
          <t>Total suspended solids: 50 mg/l; BOD5: 80 mg/l (daily load ≤30 kg/d) or 40 mg/l beyond; COD: 200 mg/l (daily load ≤100 kg/d) or 100 mg/l beyond; total hydrocarbons: 15 mg/l if discharge exceeds 150 g/d.</t>
        </is>
      </c>
      <c r="G3" s="2" t="n">
        <v>0.75</v>
      </c>
      <c r="H3" s="2" t="inlineStr">
        <is>
          <t>Official technical standard adopted in July 2001 by the ISN/CT5 standardisation committee, published by the Senegalese Standardisation Institute, complementing Decree No. 2001-282. Operative technical regulation of reference for effluent discharges (≠1.0 law).</t>
        </is>
      </c>
      <c r="I3" s="2" t="n">
        <v>0.75</v>
      </c>
      <c r="J3" s="2" t="inlineStr">
        <is>
          <t>industry, sanitation, environment, water, fisheries, agriculture, waste management</t>
        </is>
      </c>
      <c r="K3" s="2" t="n">
        <v>0.75</v>
      </c>
      <c r="L3" s="2" t="inlineStr">
        <is>
          <t>production, disposal, environmental leakage</t>
        </is>
      </c>
      <c r="M3" s="2" t="n">
        <v>0.5</v>
      </c>
      <c r="N3" s="2" t="inlineStr">
        <is>
          <t>Ch. 3 §1.4-1.5: determination of effluent pollution degree and tax rate payable by operator; fee calculation set out in interministerial order on application of this standard.</t>
        </is>
      </c>
      <c r="O3" s="3">
        <f>AVERAGE(G3,I3,K3,M3,P3)</f>
        <v/>
      </c>
      <c r="P3" s="2" t="n">
        <v>1</v>
      </c>
      <c r="Q3" s="2" t="inlineStr">
        <is>
          <t>Environmental leakage</t>
        </is>
      </c>
      <c r="R3" s="2" t="inlineStr">
        <is>
          <t>§5.2 and Annex II §2: any treated effluent discharged into a receiving environment must comply with Annex II values, including total suspended solids 50 mg/l, BOD5 80/40 mg/l and COD 200/100 mg/l.</t>
        </is>
      </c>
      <c r="S3" s="2" t="n">
        <v>1</v>
      </c>
      <c r="T3" s="2" t="n">
        <v>1</v>
      </c>
      <c r="U3" s="2" t="inlineStr">
        <is>
          <t>Ch. 3 §1.3-1.5: mandatory sampling before discharge, minimum twice per year (+0.25 monitoring); §1.7: continuous flow measurement when daily flow &gt;100 m³ (+0.25 authority); §1.4: results determine tax rate payable by operator (+0.25 enforcement); Annex II §2 iii: annual discharge report for ICPE operators (+0.25 monitoring).</t>
        </is>
      </c>
      <c r="V3" s="3">
        <f>AVERAGE(P3,T3)</f>
        <v/>
      </c>
      <c r="W3" s="2" t="inlineStr">
        <is>
          <t>Core instrument. TSS may capture suspended plastic particles in industrial effluents, without specific targeting.</t>
        </is>
      </c>
    </row>
    <row r="4">
      <c r="A4" s="2" t="inlineStr">
        <is>
          <t>Senegalese Standard NS 05-061 — Wastewater discharges (July 2001)</t>
        </is>
      </c>
      <c r="B4" s="2" t="inlineStr">
        <is>
          <t>https://www.denv.gouv.sn/telechargement/74/normes-cadre-juridique/19105/norme-rejets-ns-05-061-eaux-usees-juillet-2001.pdf</t>
        </is>
      </c>
      <c r="C4" s="2" t="n">
        <v>2001</v>
      </c>
      <c r="D4" s="2" t="inlineStr">
        <is>
          <t>Set limit values, prohibitions, monitoring modalities and discharge criteria for industrial and domestic wastewater into receiving environments, complementing Decree No. 2001-282 — indirectly controlling plastic-related industrial effluents through physico-chemical parameters (TSS, COD, BOD5, TOC, micropollutants) without plastic-specific measures.</t>
        </is>
      </c>
      <c r="E4" s="2" t="n">
        <v>1</v>
      </c>
      <c r="F4" s="2" t="inlineStr">
        <is>
          <t>Total suspended solids: 50 mg/l; BOD5: 80 mg/l (daily load ≤30 kg/d) or 40 mg/l beyond; COD: 200 mg/l (daily load ≤100 kg/d) or 100 mg/l beyond; total hydrocarbons: 15 mg/l if discharge exceeds 150 g/d.</t>
        </is>
      </c>
      <c r="G4" s="2" t="n">
        <v>0.75</v>
      </c>
      <c r="H4" s="2" t="inlineStr">
        <is>
          <t>Official technical standard adopted in July 2001 by the ISN/CT5 standardisation committee, published by the Senegalese Standardisation Institute, complementing Decree No. 2001-282. Operative technical regulation of reference for effluent discharges (≠1.0 law).</t>
        </is>
      </c>
      <c r="I4" s="2" t="n">
        <v>0.75</v>
      </c>
      <c r="J4" s="2" t="inlineStr">
        <is>
          <t>industry, sanitation, environment, water, fisheries, agriculture, waste management</t>
        </is>
      </c>
      <c r="K4" s="2" t="n">
        <v>0.75</v>
      </c>
      <c r="L4" s="2" t="inlineStr">
        <is>
          <t>production, disposal, environmental leakage</t>
        </is>
      </c>
      <c r="M4" s="2" t="n">
        <v>0.5</v>
      </c>
      <c r="N4" s="2" t="inlineStr">
        <is>
          <t>Ch. 3 §1.4-1.5: determination of effluent pollution degree and tax rate payable by operator; fee calculation set out in interministerial order on application of this standard.</t>
        </is>
      </c>
      <c r="O4" s="3">
        <f>AVERAGE(G4,I4,K4,M4,P4)</f>
        <v/>
      </c>
      <c r="P4" s="2" t="n">
        <v>1</v>
      </c>
      <c r="Q4" s="2" t="inlineStr">
        <is>
          <t>Waste management</t>
        </is>
      </c>
      <c r="R4" s="2" t="inlineStr">
        <is>
          <t>Ch. 2 §II: effluent discharged via public evacuation channels without treatment plant must be cleared of all products likely to harm infrastructure integrity, as well as floating, settleable or precipitable matter.</t>
        </is>
      </c>
      <c r="S4" s="2" t="n">
        <v>1</v>
      </c>
      <c r="T4" s="2" t="n">
        <v>0.75</v>
      </c>
      <c r="U4" s="2" t="inlineStr">
        <is>
          <t>Ch. 2 §II: applies to non-domestic effluent connections (+0.25 authority); connection protocol required between generator and plant operator (+0.25 monitoring); more stringent values where discharge contains toxic chemicals (+0.25 enforcement).</t>
        </is>
      </c>
      <c r="V4" s="3">
        <f>AVERAGE(P4,T4)</f>
        <v/>
      </c>
      <c r="W4" s="2" t="inlineStr">
        <is>
          <t>Relevant for floating or precipitable plastic particles/matter in industrial effluents.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2026-07-23T10:51:38Z</dcterms:created>
  <dcterms:modified xmlns:dcterms="http://purl.org/dc/terms/" xmlns:xsi="http://www.w3.org/2001/XMLSchema-instance" xsi:type="dcterms:W3CDTF">2026-07-23T10:51:38Z</dcterms:modified>
</cp:coreProperties>
</file>