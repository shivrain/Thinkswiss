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Loi n° 2019-12 du 8 juillet 2019 portant modification du Code Général des Collectivités Territoriales / Law No. 2019-12 of 8 July 2019 amending the General Code of Local Authorities</t>
        </is>
      </c>
      <c r="B2" s="2" t="inlineStr">
        <is>
          <t>https://www.dri.gouv.sn/sites/default/files/LOI/LOI%202019/L-2019-12.pdf</t>
        </is>
      </c>
      <c r="C2" s="2" t="n">
        <v>2019</v>
      </c>
      <c r="D2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2" s="2" t="n">
        <v>0.5</v>
      </c>
      <c r="F2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2" s="2" t="n">
        <v>1</v>
      </c>
      <c r="H2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2" s="2" t="n">
        <v>1</v>
      </c>
      <c r="J2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2" s="2" t="n">
        <v>0.25</v>
      </c>
      <c r="L2" s="2" t="inlineStr">
        <is>
          <t>collecte, élimination, gouvernance / collection, disposal, governance</t>
        </is>
      </c>
      <c r="M2" s="2" t="n">
        <v>0.75</v>
      </c>
      <c r="N2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2" s="3">
        <f>AVERAGE(G2,I2,K2,M2,P2)</f>
        <v/>
      </c>
      <c r="P2" s="2" t="n">
        <v>1</v>
      </c>
      <c r="Q2" s="2" t="inlineStr">
        <is>
          <t>Governance</t>
        </is>
      </c>
      <c r="R2" s="2" t="inlineStr">
        <is>
          <t>Art. premier: 'Les articles 185 et 195 de la loi n°2013-10... sont abrogés et remplacés' / 'Articles 185 and 195 of Law No. 2013-10... are repealed and replaced' to align CGCT with Law 2018-10 replacing 'contribution des patentes' / 'business patent contribution' with 'contribution économique locale' / 'local economic contribution'.</t>
        </is>
      </c>
      <c r="S2" s="2" t="n">
        <v>1</v>
      </c>
      <c r="T2" s="2" t="n">
        <v>0.75</v>
      </c>
      <c r="U2" s="2" t="inlineStr">
        <is>
          <t>Exposé des motifs: corrects omissions on contribution globale unique and contribution globale foncière; adopted 29 June 2019, promulgated 8 July 2019.</t>
        </is>
      </c>
      <c r="V2" s="3">
        <f>AVERAGE(P2,T2)</f>
        <v/>
      </c>
      <c r="W2" s="2" t="inlineStr">
        <is>
          <t>Loi d'harmonisation fiscale CGCT — pas de nouvelle compétence déchets, refonte des recettes locales. / CGCT fiscal harmonisation law — no new waste competence, refounds local revenue framework.</t>
        </is>
      </c>
    </row>
    <row r="3">
      <c r="A3" s="2" t="inlineStr">
        <is>
          <t>Loi n° 2019-12 du 8 juillet 2019 portant modification du Code Général des Collectivités Territoriales / Law No. 2019-12 of 8 July 2019 amending the General Code of Local Authorities</t>
        </is>
      </c>
      <c r="B3" s="2" t="inlineStr">
        <is>
          <t>https://www.dri.gouv.sn/sites/default/files/LOI/LOI%202019/L-2019-12.pdf</t>
        </is>
      </c>
      <c r="C3" s="2" t="n">
        <v>2019</v>
      </c>
      <c r="D3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3" s="2" t="n">
        <v>0.5</v>
      </c>
      <c r="F3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3" s="2" t="n">
        <v>1</v>
      </c>
      <c r="H3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3" s="2" t="n">
        <v>1</v>
      </c>
      <c r="J3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3" s="2" t="n">
        <v>0.25</v>
      </c>
      <c r="L3" s="2" t="inlineStr">
        <is>
          <t>collecte, élimination, gouvernance / collection, disposal, governance</t>
        </is>
      </c>
      <c r="M3" s="2" t="n">
        <v>0.75</v>
      </c>
      <c r="N3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3" s="3">
        <f>AVERAGE(G3,I3,K3,M3,P3)</f>
        <v/>
      </c>
      <c r="P3" s="2" t="n">
        <v>0.75</v>
      </c>
      <c r="Q3" s="2" t="inlineStr">
        <is>
          <t>Collection</t>
        </is>
      </c>
      <c r="R3" s="2" t="inlineStr">
        <is>
          <t>Art. 185(1)(b): city operating revenues include 'Les produits de la taxe d enlèvement des ordures ménagères' / 'proceeds of the household waste collection tax'; tax created by city council deliberation within legal maxima (Title V, Book I CGCT).</t>
        </is>
      </c>
      <c r="S3" s="2" t="n">
        <v>1</v>
      </c>
      <c r="T3" s="2" t="n">
        <v>0.75</v>
      </c>
      <c r="U3" s="2" t="inlineStr">
        <is>
          <t>Art. 185(1)(a): city also receives CEL and built-property land tax; State grants 25% quarterly advance on prior-year direct-tax collections.</t>
        </is>
      </c>
      <c r="V3" s="3">
        <f>AVERAGE(P3,T3)</f>
        <v/>
      </c>
      <c r="W3" s="2" t="inlineStr">
        <is>
          <t>Taxe ordures ménagères au niveau ville — finance la collecte des déchets (incluant fractions plastiques). / City-level household waste tax — funds waste collection (including plastic fractions).</t>
        </is>
      </c>
    </row>
    <row r="4">
      <c r="A4" s="2" t="inlineStr">
        <is>
          <t>Loi n° 2019-12 du 8 juillet 2019 portant modification du Code Général des Collectivités Territoriales / Law No. 2019-12 of 8 July 2019 amending the General Code of Local Authorities</t>
        </is>
      </c>
      <c r="B4" s="2" t="inlineStr">
        <is>
          <t>https://www.dri.gouv.sn/sites/default/files/LOI/LOI%202019/L-2019-12.pdf</t>
        </is>
      </c>
      <c r="C4" s="2" t="n">
        <v>2019</v>
      </c>
      <c r="D4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4" s="2" t="n">
        <v>0.5</v>
      </c>
      <c r="F4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4" s="2" t="n">
        <v>1</v>
      </c>
      <c r="H4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4" s="2" t="n">
        <v>1</v>
      </c>
      <c r="J4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4" s="2" t="n">
        <v>0.25</v>
      </c>
      <c r="L4" s="2" t="inlineStr">
        <is>
          <t>collecte, élimination, gouvernance / collection, disposal, governance</t>
        </is>
      </c>
      <c r="M4" s="2" t="n">
        <v>0.75</v>
      </c>
      <c r="N4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4" s="3">
        <f>AVERAGE(G4,I4,K4,M4,P4)</f>
        <v/>
      </c>
      <c r="P4" s="2" t="n">
        <v>0.75</v>
      </c>
      <c r="Q4" s="2" t="inlineStr">
        <is>
          <t>Collection</t>
        </is>
      </c>
      <c r="R4" s="2" t="inlineStr">
        <is>
          <t>Art. 195(1)(b): commune direct local taxes include 'taxe d enlèvement des ordures ménagères' / 'household waste collection tax', 'taxe de balayage' / 'street-sweeping tax' and 'taxe de déversement à l égout' / 'sewer discharge tax'.</t>
        </is>
      </c>
      <c r="S4" s="2" t="n">
        <v>1</v>
      </c>
      <c r="T4" s="2" t="n">
        <v>0.75</v>
      </c>
      <c r="U4" s="2" t="inlineStr">
        <is>
          <t>Taxes created by municipal council deliberation; assessment/collection modalities and maxima set by law.</t>
        </is>
      </c>
      <c r="V4" s="3">
        <f>AVERAGE(P4,T4)</f>
        <v/>
      </c>
      <c r="W4" s="2" t="inlineStr">
        <is>
          <t>Instruments fiscaux locaux finançant collecte et propreté — pertinents pour déchets solides/plastiques urbains. / Local fiscal instruments funding collection and cleanliness — relevant for urban solid/plastic waste.</t>
        </is>
      </c>
    </row>
    <row r="5">
      <c r="A5" s="2" t="inlineStr">
        <is>
          <t>Loi n° 2019-12 du 8 juillet 2019 portant modification du Code Général des Collectivités Territoriales / Law No. 2019-12 of 8 July 2019 amending the General Code of Local Authorities</t>
        </is>
      </c>
      <c r="B5" s="2" t="inlineStr">
        <is>
          <t>https://www.dri.gouv.sn/sites/default/files/LOI/LOI%202019/L-2019-12.pdf</t>
        </is>
      </c>
      <c r="C5" s="2" t="n">
        <v>2019</v>
      </c>
      <c r="D5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5" s="2" t="n">
        <v>0.5</v>
      </c>
      <c r="F5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5" s="2" t="n">
        <v>1</v>
      </c>
      <c r="H5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5" s="2" t="n">
        <v>1</v>
      </c>
      <c r="J5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5" s="2" t="n">
        <v>0.25</v>
      </c>
      <c r="L5" s="2" t="inlineStr">
        <is>
          <t>collecte, élimination, gouvernance / collection, disposal, governance</t>
        </is>
      </c>
      <c r="M5" s="2" t="n">
        <v>0.75</v>
      </c>
      <c r="N5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5" s="3">
        <f>AVERAGE(G5,I5,K5,M5,P5)</f>
        <v/>
      </c>
      <c r="P5" s="2" t="n">
        <v>0.6</v>
      </c>
      <c r="Q5" s="2" t="inlineStr">
        <is>
          <t>Governance</t>
        </is>
      </c>
      <c r="R5" s="2" t="inlineStr">
        <is>
          <t>Art. 195(1)(a): commune direct taxes now include 'contribution économique locale' / 'local economic contribution' (replacing contribution des patentes), minimum fiscal tax, built/unbuilt land taxes, licence contribution, CGU and CGF commune shares.</t>
        </is>
      </c>
      <c r="S5" s="2" t="n">
        <v>1</v>
      </c>
      <c r="T5" s="2" t="n">
        <v>0.75</v>
      </c>
      <c r="U5" s="2" t="inlineStr">
        <is>
          <t>State grants 25% quarterly advance on prior-year direct-tax collections for commune treasury.</t>
        </is>
      </c>
      <c r="V5" s="3">
        <f>AVERAGE(P5,T5)</f>
        <v/>
      </c>
      <c r="W5" s="2" t="inlineStr">
        <is>
          <t>Réforme fiscale locale — ressources générales pouvant financer les services communaux dont les déchets. / Local tax reform — general resources that may fund communal services including waste.</t>
        </is>
      </c>
    </row>
    <row r="6">
      <c r="A6" s="2" t="inlineStr">
        <is>
          <t>Loi n° 2019-12 du 8 juillet 2019 portant modification du Code Général des Collectivités Territoriales / Law No. 2019-12 of 8 July 2019 amending the General Code of Local Authorities</t>
        </is>
      </c>
      <c r="B6" s="2" t="inlineStr">
        <is>
          <t>https://www.dri.gouv.sn/sites/default/files/LOI/LOI%202019/L-2019-12.pdf</t>
        </is>
      </c>
      <c r="C6" s="2" t="n">
        <v>2019</v>
      </c>
      <c r="D6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6" s="2" t="n">
        <v>0.5</v>
      </c>
      <c r="F6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6" s="2" t="n">
        <v>1</v>
      </c>
      <c r="H6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6" s="2" t="n">
        <v>1</v>
      </c>
      <c r="J6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6" s="2" t="n">
        <v>0.25</v>
      </c>
      <c r="L6" s="2" t="inlineStr">
        <is>
          <t>collecte, élimination, gouvernance / collection, disposal, governance</t>
        </is>
      </c>
      <c r="M6" s="2" t="n">
        <v>0.75</v>
      </c>
      <c r="N6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6" s="3">
        <f>AVERAGE(G6,I6,K6,M6,P6)</f>
        <v/>
      </c>
      <c r="P6" s="2" t="n">
        <v>0.6</v>
      </c>
      <c r="Q6" s="2" t="inlineStr">
        <is>
          <t>Collection</t>
        </is>
      </c>
      <c r="R6" s="2" t="inlineStr">
        <is>
          <t>Art. 185 bis: 'Le produit de la contribution sur la valeur locative des locaux professionnels, de la contribution foncière sur les propriétés bâties et de la taxe d enlèvement des ordures ménagères visées à l article 185 n est perçu au profit de la ville que si les biens imposables sont situés en dehors des infrastructures et équipements marchands' / 'Proceeds of professional-premises rental-value contribution, built-property land tax and household waste collection tax under Art. 185 are collected for the city only if taxable property is located outside commercial infrastructure and facilities'.</t>
        </is>
      </c>
      <c r="S6" s="2" t="n">
        <v>1</v>
      </c>
      <c r="T6" s="2" t="n">
        <v>0.5</v>
      </c>
      <c r="U6" s="2" t="inlineStr">
        <is>
          <t>Commercial infrastructure defined as markets, fairs, shopping centres and any place for commerce whose administrative/financial management falls to the commune.</t>
        </is>
      </c>
      <c r="V6" s="3">
        <f>AVERAGE(P6,T6)</f>
        <v/>
      </c>
      <c r="W6" s="2" t="inlineStr">
        <is>
          <t>Exception fiscale pour infrastructures marchandes — clarifie le périmètre de la taxe ordures en ville. / Fiscal exception for commercial infrastructure — clarifies city waste-tax perimeter.</t>
        </is>
      </c>
    </row>
    <row r="7">
      <c r="A7" s="2" t="inlineStr">
        <is>
          <t>Loi n° 2019-12 du 8 juillet 2019 portant modification du Code Général des Collectivités Territoriales / Law No. 2019-12 of 8 July 2019 amending the General Code of Local Authorities</t>
        </is>
      </c>
      <c r="B7" s="2" t="inlineStr">
        <is>
          <t>https://www.dri.gouv.sn/sites/default/files/LOI/LOI%202019/L-2019-12.pdf</t>
        </is>
      </c>
      <c r="C7" s="2" t="n">
        <v>2019</v>
      </c>
      <c r="D7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7" s="2" t="n">
        <v>0.5</v>
      </c>
      <c r="F7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7" s="2" t="n">
        <v>1</v>
      </c>
      <c r="H7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7" s="2" t="n">
        <v>1</v>
      </c>
      <c r="J7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7" s="2" t="n">
        <v>0.25</v>
      </c>
      <c r="L7" s="2" t="inlineStr">
        <is>
          <t>collecte, élimination, gouvernance / collection, disposal, governance</t>
        </is>
      </c>
      <c r="M7" s="2" t="n">
        <v>0.75</v>
      </c>
      <c r="N7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7" s="3">
        <f>AVERAGE(G7,I7,K7,M7,P7)</f>
        <v/>
      </c>
      <c r="P7" s="2" t="n">
        <v>0.75</v>
      </c>
      <c r="Q7" s="2" t="inlineStr">
        <is>
          <t>Governance</t>
        </is>
      </c>
      <c r="R7" s="2" t="inlineStr">
        <is>
          <t>Art. 195 bis: 'La contribution sur la valeur locative des locaux professionnels est perçue au profit de la commune sur le territoire de laquelle les locaux d exploitation sont situés' / 'Professional-premises rental-value contribution is collected for the commune where the business premises are located', subject to Art. 185 bis.</t>
        </is>
      </c>
      <c r="S7" s="2" t="n">
        <v>1</v>
      </c>
      <c r="T7" s="2" t="n">
        <v>0.75</v>
      </c>
      <c r="U7" s="2" t="inlineStr">
        <is>
          <t>Territoriality rule links business premises to commune revenue; complements CEL valeur ajoutée national redistribution.</t>
        </is>
      </c>
      <c r="V7" s="3">
        <f>AVERAGE(P7,T7)</f>
        <v/>
      </c>
      <c r="W7" s="2" t="inlineStr">
        <is>
          <t>Affectation territoriale de la CEL — renforce les ressources des communes gestionnaires des déchets. / Territorial allocation of CEL — strengthens resources of waste-managing communes.</t>
        </is>
      </c>
    </row>
    <row r="8">
      <c r="A8" s="2" t="inlineStr">
        <is>
          <t>Loi n° 2019-12 du 8 juillet 2019 portant modification du Code Général des Collectivités Territoriales / Law No. 2019-12 of 8 July 2019 amending the General Code of Local Authorities</t>
        </is>
      </c>
      <c r="B8" s="2" t="inlineStr">
        <is>
          <t>https://www.dri.gouv.sn/sites/default/files/LOI/LOI%202019/L-2019-12.pdf</t>
        </is>
      </c>
      <c r="C8" s="2" t="n">
        <v>2019</v>
      </c>
      <c r="D8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8" s="2" t="n">
        <v>0.5</v>
      </c>
      <c r="F8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8" s="2" t="n">
        <v>1</v>
      </c>
      <c r="H8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8" s="2" t="n">
        <v>1</v>
      </c>
      <c r="J8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8" s="2" t="n">
        <v>0.25</v>
      </c>
      <c r="L8" s="2" t="inlineStr">
        <is>
          <t>collecte, élimination, gouvernance / collection, disposal, governance</t>
        </is>
      </c>
      <c r="M8" s="2" t="n">
        <v>0.75</v>
      </c>
      <c r="N8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8" s="3">
        <f>AVERAGE(G8,I8,K8,M8,P8)</f>
        <v/>
      </c>
      <c r="P8" s="2" t="n">
        <v>0.75</v>
      </c>
      <c r="Q8" s="2" t="inlineStr">
        <is>
          <t>Governance</t>
        </is>
      </c>
      <c r="R8" s="2" t="inlineStr">
        <is>
          <t>Art. 195 bis: CEL valeur ajoutée proceeds deposited in Treasury account 'contribution économique locale / valeur ajoutée' / 'local economic contribution / value added' and redistributed annually to all communes via three guichets: allocation minimale, stabilisation, équité territoriale.</t>
        </is>
      </c>
      <c r="S8" s="2" t="n">
        <v>1</v>
      </c>
      <c r="T8" s="2" t="n">
        <v>0.75</v>
      </c>
      <c r="U8" s="2" t="inlineStr">
        <is>
          <t>Distribution modalities specified by decree; national equitable sharing per Art. 339 Loi 2018-10.</t>
        </is>
      </c>
      <c r="V8" s="3">
        <f>AVERAGE(P8,T8)</f>
        <v/>
      </c>
      <c r="W8" s="2" t="inlineStr">
        <is>
          <t>Mécanisme de péréquation financière intercommunale — finance indirecte des services publics locaux. / Inter-communal financial equalisation mechanism — indirect funding of local public services.</t>
        </is>
      </c>
    </row>
    <row r="9">
      <c r="A9" s="2" t="inlineStr">
        <is>
          <t>Loi n° 2019-12 du 8 juillet 2019 portant modification du Code Général des Collectivités Territoriales / Law No. 2019-12 of 8 July 2019 amending the General Code of Local Authorities</t>
        </is>
      </c>
      <c r="B9" s="2" t="inlineStr">
        <is>
          <t>https://www.dri.gouv.sn/sites/default/files/LOI/LOI%202019/L-2019-12.pdf</t>
        </is>
      </c>
      <c r="C9" s="2" t="n">
        <v>2019</v>
      </c>
      <c r="D9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9" s="2" t="n">
        <v>0.5</v>
      </c>
      <c r="F9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9" s="2" t="n">
        <v>1</v>
      </c>
      <c r="H9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9" s="2" t="n">
        <v>1</v>
      </c>
      <c r="J9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9" s="2" t="n">
        <v>0.25</v>
      </c>
      <c r="L9" s="2" t="inlineStr">
        <is>
          <t>collecte, élimination, gouvernance / collection, disposal, governance</t>
        </is>
      </c>
      <c r="M9" s="2" t="n">
        <v>0.75</v>
      </c>
      <c r="N9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9" s="3">
        <f>AVERAGE(G9,I9,K9,M9,P9)</f>
        <v/>
      </c>
      <c r="P9" s="2" t="n">
        <v>0.6</v>
      </c>
      <c r="Q9" s="2" t="inlineStr">
        <is>
          <t>Governance</t>
        </is>
      </c>
      <c r="R9" s="2" t="inlineStr">
        <is>
          <t>Art. 195 bis(1): guichet 'allocation minimale' / 'minimum allocation' — fixed by joint Finance/Local Government Ministerial order; not below FCFA 12,000,000 per commune per year for authorised personnel expenditure.</t>
        </is>
      </c>
      <c r="S9" s="2" t="n">
        <v>1</v>
      </c>
      <c r="T9" s="2" t="n">
        <v>0.75</v>
      </c>
      <c r="U9" s="2" t="inlineStr">
        <is>
          <t>Funded first before stabilisation and équité territoriale guichets.</t>
        </is>
      </c>
      <c r="V9" s="3">
        <f>AVERAGE(P9,T9)</f>
        <v/>
      </c>
      <c r="W9" s="2" t="inlineStr">
        <is>
          <t>Plancher de ressources communales — soutient la capacité administrative d'exécution des compétences déchets. / Commune resource floor — supports administrative capacity to deliver waste competences.</t>
        </is>
      </c>
    </row>
    <row r="10">
      <c r="A10" s="2" t="inlineStr">
        <is>
          <t>Loi n° 2019-12 du 8 juillet 2019 portant modification du Code Général des Collectivités Territoriales / Law No. 2019-12 of 8 July 2019 amending the General Code of Local Authorities</t>
        </is>
      </c>
      <c r="B10" s="2" t="inlineStr">
        <is>
          <t>https://www.dri.gouv.sn/sites/default/files/LOI/LOI%202019/L-2019-12.pdf</t>
        </is>
      </c>
      <c r="C10" s="2" t="n">
        <v>2019</v>
      </c>
      <c r="D10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10" s="2" t="n">
        <v>0.5</v>
      </c>
      <c r="F10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10" s="2" t="n">
        <v>1</v>
      </c>
      <c r="H10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10" s="2" t="n">
        <v>1</v>
      </c>
      <c r="J10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10" s="2" t="n">
        <v>0.25</v>
      </c>
      <c r="L10" s="2" t="inlineStr">
        <is>
          <t>collecte, élimination, gouvernance / collection, disposal, governance</t>
        </is>
      </c>
      <c r="M10" s="2" t="n">
        <v>0.75</v>
      </c>
      <c r="N10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10" s="3">
        <f>AVERAGE(G10,I10,K10,M10,P10)</f>
        <v/>
      </c>
      <c r="P10" s="2" t="n">
        <v>0.6</v>
      </c>
      <c r="Q10" s="2" t="inlineStr">
        <is>
          <t>Governance</t>
        </is>
      </c>
      <c r="R10" s="2" t="inlineStr">
        <is>
          <t>Art. 195 bis(2): guichet 'stabilisation' / 'stabilisation' — restores difference between former patent-contribution receipts and new professional-premises rental-value contribution; resources ≤70% of distributable CEL valeur ajoutée (after minimum allocations); 4-year period (extendable).</t>
        </is>
      </c>
      <c r="S10" s="2" t="n">
        <v>1</v>
      </c>
      <c r="T10" s="2" t="n">
        <v>0.5</v>
      </c>
      <c r="U10" s="2" t="inlineStr">
        <is>
          <t>If insufficient resources, proportional stabilisation by regulation; prorogation possible by Local Government Minister.</t>
        </is>
      </c>
      <c r="V10" s="3">
        <f>AVERAGE(P10,T10)</f>
        <v/>
      </c>
      <c r="W10" s="2" t="inlineStr">
        <is>
          <t>Transition fiscale sur 4 ans — évite la chute brutale des recettes communales post-réforme. / 4-year fiscal transition — avoids abrupt post-reform drop in commune revenues.</t>
        </is>
      </c>
    </row>
    <row r="11">
      <c r="A11" s="2" t="inlineStr">
        <is>
          <t>Loi n° 2019-12 du 8 juillet 2019 portant modification du Code Général des Collectivités Territoriales / Law No. 2019-12 of 8 July 2019 amending the General Code of Local Authorities</t>
        </is>
      </c>
      <c r="B11" s="2" t="inlineStr">
        <is>
          <t>https://www.dri.gouv.sn/sites/default/files/LOI/LOI%202019/L-2019-12.pdf</t>
        </is>
      </c>
      <c r="C11" s="2" t="n">
        <v>2019</v>
      </c>
      <c r="D11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11" s="2" t="n">
        <v>0.5</v>
      </c>
      <c r="F11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11" s="2" t="n">
        <v>1</v>
      </c>
      <c r="H11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11" s="2" t="n">
        <v>1</v>
      </c>
      <c r="J11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11" s="2" t="n">
        <v>0.25</v>
      </c>
      <c r="L11" s="2" t="inlineStr">
        <is>
          <t>collecte, élimination, gouvernance / collection, disposal, governance</t>
        </is>
      </c>
      <c r="M11" s="2" t="n">
        <v>0.75</v>
      </c>
      <c r="N11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11" s="3">
        <f>AVERAGE(G11,I11,K11,M11,P11)</f>
        <v/>
      </c>
      <c r="P11" s="2" t="n">
        <v>0.6</v>
      </c>
      <c r="Q11" s="2" t="inlineStr">
        <is>
          <t>Governance</t>
        </is>
      </c>
      <c r="R11" s="2" t="inlineStr">
        <is>
          <t>Art. 195 bis(3): guichet 'équité territoriale' / 'territorial equity' — distributed among communes based on population and poverty index; resources ≥30% of distributable CEL valeur ajoutée (after minimum allocations).</t>
        </is>
      </c>
      <c r="S11" s="2" t="n">
        <v>1</v>
      </c>
      <c r="T11" s="2" t="n">
        <v>0.75</v>
      </c>
      <c r="U11" s="2" t="inlineStr">
        <is>
          <t>Funded after allocation minimale guichet; targets poorer/less-resourced communes.</t>
        </is>
      </c>
      <c r="V11" s="3">
        <f>AVERAGE(P11,T11)</f>
        <v/>
      </c>
      <c r="W11" s="2" t="inlineStr">
        <is>
          <t>Péréquation selon pauvreté — peut renforcer les communes déficitaires en services d'assainissement. / Poverty-based equalisation — may strengthen communes lacking sanitation services.</t>
        </is>
      </c>
    </row>
    <row r="12">
      <c r="A12" s="2" t="inlineStr">
        <is>
          <t>Loi n° 2019-12 du 8 juillet 2019 portant modification du Code Général des Collectivités Territoriales / Law No. 2019-12 of 8 July 2019 amending the General Code of Local Authorities</t>
        </is>
      </c>
      <c r="B12" s="2" t="inlineStr">
        <is>
          <t>https://www.dri.gouv.sn/sites/default/files/LOI/LOI%202019/L-2019-12.pdf</t>
        </is>
      </c>
      <c r="C12" s="2" t="n">
        <v>2019</v>
      </c>
      <c r="D12" s="2" t="inlineStr">
        <is>
          <t>Harmoniser le CGCT (Loi 2013-10) avec la réforme fiscale de la Loi 2018-10 en remplaçant la « contribution des patentes » par la « contribution économique locale » (CEL), en refondant les recettes de fonctionnement des villes et communes (Arts 185 et 195) et en instaurant un mécanisme de répartition nationale de la CEL sur la valeur ajoutée — avec maintien des taxes locales d'enlèvement des ordures ménagères et de balayage finançant les services de collecte/assainissement, sans mesures spécifiques aux plastiques. / Harmonise the CGCT (Law 2013-10) with the Law 2018-10 tax reform by replacing the business patent contribution with the local economic contribution (CEL), refounding city and commune operating revenues (Arts 185 and 195) and establishing a national redistribution mechanism for CEL on value added — while retaining local household-waste collection and street-sweeping taxes funding collection/sanitation services, without plastic-specific measures.</t>
        </is>
      </c>
      <c r="E12" s="2" t="n">
        <v>0.5</v>
      </c>
      <c r="F12" s="2" t="inlineStr">
        <is>
          <t>Art. 195(b): 'taxe d enlèvement des ordures ménagères' / 'household waste collection tax', 'taxe de balayage' / 'street-sweeping tax'; Art. 185(b): city 'taxe d enlèvement des ordures ménagères' / 'household waste collection tax'; Art. 195 bis: CEL redistribution with minimum allocation of FCFA 12,000,000/commune/year.</t>
        </is>
      </c>
      <c r="G12" s="2" t="n">
        <v>1</v>
      </c>
      <c r="H12" s="2" t="inlineStr">
        <is>
          <t>Loi d'amendement adoptée par l'Assemblée nationale le 29 juin 2019 et promulguée le 8 juillet 2019. Il s'agit d'une loi parlementaire modifiant le Code (≠0.75 arrêté/décret). / Amending law adopted by the National Assembly on 29 June 2019 and promulgated on 8 July 2019. It is parliamentary legislation amending the Code (≠0.75 order/decree).</t>
        </is>
      </c>
      <c r="I12" s="2" t="n">
        <v>1</v>
      </c>
      <c r="J12" s="2" t="inlineStr">
        <is>
          <t>collectivités territoriales, finances locales, fiscalité, assainissement, propreté urbaine, gouvernance locale / local government, local finance, taxation, sanitation, urban cleanliness, local governance</t>
        </is>
      </c>
      <c r="K12" s="2" t="n">
        <v>0.25</v>
      </c>
      <c r="L12" s="2" t="inlineStr">
        <is>
          <t>collecte, élimination, gouvernance / collection, disposal, governance</t>
        </is>
      </c>
      <c r="M12" s="2" t="n">
        <v>0.75</v>
      </c>
      <c r="N12" s="2" t="inlineStr">
        <is>
          <t>Art. 195 bis: CEL valeur ajoutée split into three redistribution guichets (allocation minimale ≥FCFA 12M/commune, stabilisation ≤70%, équité territoriale ≥30%); Arts 185/195: State treasury advances of 25% of prior-year direct-tax collections per quarter; waste-collection and sweeping taxes retained as commune revenue sources.</t>
        </is>
      </c>
      <c r="O12" s="3">
        <f>AVERAGE(G12,I12,K12,M12,P12)</f>
        <v/>
      </c>
      <c r="P12" s="2" t="n">
        <v>0.5</v>
      </c>
      <c r="Q12" s="2" t="inlineStr">
        <is>
          <t>Collection</t>
        </is>
      </c>
      <c r="R12" s="2" t="inlineStr">
        <is>
          <t>Art. 195(1)(c): commune indirect local taxes include electricity, water, advertising, night establishments, abattoir/sanitary inspection, entertainment, furnished lodgings and fuel-dispenser taxes — general local revenue base.</t>
        </is>
      </c>
      <c r="S12" s="2" t="n">
        <v>1</v>
      </c>
      <c r="T12" s="2" t="n">
        <v>0.5</v>
      </c>
      <c r="U12" s="2" t="inlineStr">
        <is>
          <t>Created by municipal council deliberation within legal maxima; complements direct taxes including waste-collection tax.</t>
        </is>
      </c>
      <c r="V12" s="3">
        <f>AVERAGE(P12,T12)</f>
        <v/>
      </c>
      <c r="W12" s="2" t="inlineStr">
        <is>
          <t>Recettes indirectes communales — financement général des services locaux sans lien plastique direct. / Commune indirect revenues — general local-service funding without direct plastic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2026-07-21T15:05:39Z</dcterms:created>
  <dcterms:modified xmlns:dcterms="http://purl.org/dc/terms/" xmlns:xsi="http://www.w3.org/2001/XMLSchema-instance" xsi:type="dcterms:W3CDTF">2026-07-21T15:05:39Z</dcterms:modified>
</cp:coreProperties>
</file>