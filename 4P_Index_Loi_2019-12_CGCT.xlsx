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Law No. 2019-12 of 8 July 2019 amending the General Code of Local Authorities</t>
        </is>
      </c>
      <c r="B2" s="2" t="inlineStr">
        <is>
          <t>https://www.dri.gouv.sn/sites/default/files/LOI/LOI%202019/L-2019-12.pdf</t>
        </is>
      </c>
      <c r="C2" s="2" t="n">
        <v>2019</v>
      </c>
      <c r="D2" s="2" t="inlineStr">
        <is>
          <t>Amend CGCT fiscal framework (CEL replacing business patent contribution) while retaining local household-waste collection and street-sweeping taxes funding municipal waste services including plastic fractions. No plastic-specific measures.</t>
        </is>
      </c>
      <c r="E2" s="2" t="n">
        <v>1</v>
      </c>
      <c r="F2" s="2" t="inlineStr">
        <is>
          <t>Art. 195 bis(1): minimum CEL allocation not below FCFA 12,000,000 per commune per year.</t>
        </is>
      </c>
      <c r="G2" s="2" t="n">
        <v>1</v>
      </c>
      <c r="H2" s="2" t="inlineStr">
        <is>
          <t>Amending law adopted by National Assembly 29 June 2019, promulgated 8 July 2019. Parliamentary legislation (≠0.75).</t>
        </is>
      </c>
      <c r="I2" s="2" t="n">
        <v>0.5</v>
      </c>
      <c r="J2" s="2" t="inlineStr">
        <is>
          <t>municipalities, waste management, environment</t>
        </is>
      </c>
      <c r="K2" s="2" t="n">
        <v>0.25</v>
      </c>
      <c r="L2" s="2" t="inlineStr">
        <is>
          <t>disposal</t>
        </is>
      </c>
      <c r="M2" s="2" t="n">
        <v>0.5</v>
      </c>
      <c r="N2" s="2" t="inlineStr">
        <is>
          <t>Art. 195 bis: CEL value-added redistribution to communes; Arts 185/195 retain household waste collection and street-sweeping taxes as local revenue sources.</t>
        </is>
      </c>
      <c r="O2" s="3">
        <f>AVERAGE(G2,I2,K2,M2,P2)</f>
        <v/>
      </c>
      <c r="P2" s="2" t="n">
        <v>0.6</v>
      </c>
      <c r="Q2" s="2" t="inlineStr">
        <is>
          <t>Waste management</t>
        </is>
      </c>
      <c r="R2" s="2" t="inlineStr">
        <is>
          <t>Art. 195(1)(b): commune direct local taxes include household waste collection tax and street-sweeping tax, created by municipal council deliberation within legal maxima.</t>
        </is>
      </c>
      <c r="S2" s="2" t="n">
        <v>1</v>
      </c>
      <c r="T2" s="2" t="n">
        <v>0.5</v>
      </c>
      <c r="U2" s="2" t="inlineStr">
        <is>
          <t>Municipal council creates taxes by deliberation (+0.25 authority); assessment/collection modalities set by law (+0.25 monitoring). No penalties in this article.</t>
        </is>
      </c>
      <c r="V2" s="3">
        <f>AVERAGE(P2,T2)</f>
        <v/>
      </c>
      <c r="W2" s="2" t="inlineStr">
        <is>
          <t>Most plastics-relevant — local taxes funding household waste collection.</t>
        </is>
      </c>
    </row>
    <row r="3">
      <c r="A3" s="2" t="inlineStr">
        <is>
          <t>Law No. 2019-12 of 8 July 2019 amending the General Code of Local Authorities</t>
        </is>
      </c>
      <c r="B3" s="2" t="inlineStr">
        <is>
          <t>https://www.dri.gouv.sn/sites/default/files/LOI/LOI%202019/L-2019-12.pdf</t>
        </is>
      </c>
      <c r="C3" s="2" t="n">
        <v>2019</v>
      </c>
      <c r="D3" s="2" t="inlineStr">
        <is>
          <t>Amend CGCT fiscal framework (CEL replacing business patent contribution) while retaining local household-waste collection and street-sweeping taxes funding municipal waste services including plastic fractions. No plastic-specific measures.</t>
        </is>
      </c>
      <c r="E3" s="2" t="n">
        <v>1</v>
      </c>
      <c r="F3" s="2" t="inlineStr">
        <is>
          <t>Art. 195 bis(1): minimum CEL allocation not below FCFA 12,000,000 per commune per year.</t>
        </is>
      </c>
      <c r="G3" s="2" t="n">
        <v>1</v>
      </c>
      <c r="H3" s="2" t="inlineStr">
        <is>
          <t>Amending law adopted by National Assembly 29 June 2019, promulgated 8 July 2019. Parliamentary legislation (≠0.75).</t>
        </is>
      </c>
      <c r="I3" s="2" t="n">
        <v>0.5</v>
      </c>
      <c r="J3" s="2" t="inlineStr">
        <is>
          <t>municipalities, waste management, environment</t>
        </is>
      </c>
      <c r="K3" s="2" t="n">
        <v>0.25</v>
      </c>
      <c r="L3" s="2" t="inlineStr">
        <is>
          <t>disposal</t>
        </is>
      </c>
      <c r="M3" s="2" t="n">
        <v>0.5</v>
      </c>
      <c r="N3" s="2" t="inlineStr">
        <is>
          <t>Art. 195 bis: CEL value-added redistribution to communes; Arts 185/195 retain household waste collection and street-sweeping taxes as local revenue sources.</t>
        </is>
      </c>
      <c r="O3" s="3">
        <f>AVERAGE(G3,I3,K3,M3,P3)</f>
        <v/>
      </c>
      <c r="P3" s="2" t="n">
        <v>0.6</v>
      </c>
      <c r="Q3" s="2" t="inlineStr">
        <is>
          <t>Waste management</t>
        </is>
      </c>
      <c r="R3" s="2" t="inlineStr">
        <is>
          <t>Art. 185(1)(b): city operating revenues include proceeds of the household waste collection tax, created by city council deliberation within legal maxima.</t>
        </is>
      </c>
      <c r="S3" s="2" t="n">
        <v>1</v>
      </c>
      <c r="T3" s="2" t="n">
        <v>0.5</v>
      </c>
      <c r="U3" s="2" t="inlineStr">
        <is>
          <t>City council deliberation required (+0.25 authority); State grants 25% quarterly advance on prior-year direct-tax collections (+0.25 monitoring).</t>
        </is>
      </c>
      <c r="V3" s="3">
        <f>AVERAGE(P3,T3)</f>
        <v/>
      </c>
      <c r="W3" s="2" t="inlineStr">
        <is>
          <t>City-level waste collection tax — funds collection including plastic fractions.</t>
        </is>
      </c>
    </row>
    <row r="4">
      <c r="A4" s="2" t="inlineStr">
        <is>
          <t>Law No. 2019-12 of 8 July 2019 amending the General Code of Local Authorities</t>
        </is>
      </c>
      <c r="B4" s="2" t="inlineStr">
        <is>
          <t>https://www.dri.gouv.sn/sites/default/files/LOI/LOI%202019/L-2019-12.pdf</t>
        </is>
      </c>
      <c r="C4" s="2" t="n">
        <v>2019</v>
      </c>
      <c r="D4" s="2" t="inlineStr">
        <is>
          <t>Amend CGCT fiscal framework (CEL replacing business patent contribution) while retaining local household-waste collection and street-sweeping taxes funding municipal waste services including plastic fractions. No plastic-specific measures.</t>
        </is>
      </c>
      <c r="E4" s="2" t="n">
        <v>1</v>
      </c>
      <c r="F4" s="2" t="inlineStr">
        <is>
          <t>Art. 195 bis(1): minimum CEL allocation not below FCFA 12,000,000 per commune per year.</t>
        </is>
      </c>
      <c r="G4" s="2" t="n">
        <v>1</v>
      </c>
      <c r="H4" s="2" t="inlineStr">
        <is>
          <t>Amending law adopted by National Assembly 29 June 2019, promulgated 8 July 2019. Parliamentary legislation (≠0.75).</t>
        </is>
      </c>
      <c r="I4" s="2" t="n">
        <v>0.5</v>
      </c>
      <c r="J4" s="2" t="inlineStr">
        <is>
          <t>municipalities, waste management, environment</t>
        </is>
      </c>
      <c r="K4" s="2" t="n">
        <v>0.25</v>
      </c>
      <c r="L4" s="2" t="inlineStr">
        <is>
          <t>disposal</t>
        </is>
      </c>
      <c r="M4" s="2" t="n">
        <v>0.5</v>
      </c>
      <c r="N4" s="2" t="inlineStr">
        <is>
          <t>Art. 195 bis: CEL value-added redistribution to communes; Arts 185/195 retain household waste collection and street-sweeping taxes as local revenue sources.</t>
        </is>
      </c>
      <c r="O4" s="3">
        <f>AVERAGE(G4,I4,K4,M4,P4)</f>
        <v/>
      </c>
      <c r="P4" s="2" t="n">
        <v>0.2</v>
      </c>
      <c r="Q4" s="2" t="inlineStr">
        <is>
          <t>Waste management</t>
        </is>
      </c>
      <c r="R4" s="2" t="inlineStr">
        <is>
          <t>Art. 195 bis(1): minimum CEL allocation guichet — not below FCFA 12,000,000 per commune per year for authorised personnel expenditure, supporting local service delivery capacity.</t>
        </is>
      </c>
      <c r="S4" s="2" t="n">
        <v>1</v>
      </c>
      <c r="T4" s="2" t="n">
        <v>0.25</v>
      </c>
      <c r="U4" s="2" t="inlineStr">
        <is>
          <t>National redistribution mechanism (+0.25 authority). Indirect support to commune waste service capacity; no direct waste mandate or enforcement in this provision.</t>
        </is>
      </c>
      <c r="V4" s="3">
        <f>AVERAGE(P4,T4)</f>
        <v/>
      </c>
      <c r="W4" s="2" t="inlineStr">
        <is>
          <t>Indirect fiscal support to communes managing waste; borderline plastics relevance.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2026-07-23T10:30:39Z</dcterms:created>
  <dcterms:modified xmlns:dcterms="http://purl.org/dc/terms/" xmlns:xsi="http://www.w3.org/2001/XMLSchema-instance" xsi:type="dcterms:W3CDTF">2026-07-23T10:30:39Z</dcterms:modified>
</cp:coreProperties>
</file>