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52" customWidth="1" min="2" max="2"/>
    <col width="10" customWidth="1" min="3" max="3"/>
    <col width="52" customWidth="1" min="4" max="4"/>
    <col width="12" customWidth="1" min="5" max="5"/>
    <col width="60" customWidth="1" min="6" max="6"/>
    <col width="10" customWidth="1" min="7" max="7"/>
    <col width="52" customWidth="1" min="8" max="8"/>
    <col width="14" customWidth="1" min="9" max="9"/>
    <col width="40" customWidth="1" min="10" max="10"/>
    <col width="14" customWidth="1" min="11" max="11"/>
    <col width="36" customWidth="1" min="12" max="12"/>
    <col width="12" customWidth="1" min="13" max="13"/>
    <col width="52" customWidth="1" min="14" max="14"/>
    <col width="12" customWidth="1" min="15" max="15"/>
    <col width="14" customWidth="1" min="16" max="16"/>
    <col width="22" customWidth="1" min="17" max="17"/>
    <col width="60" customWidth="1" min="18" max="18"/>
    <col width="14" customWidth="1" min="19" max="19"/>
    <col width="18" customWidth="1" min="20" max="20"/>
    <col width="52" customWidth="1" min="21" max="21"/>
    <col width="14" customWidth="1" min="22" max="22"/>
    <col width="52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Law No. 2015-18 of 13 July 2015 establishing the Maritime Fisheries Code</t>
        </is>
      </c>
      <c r="B2" s="2" t="inlineStr">
        <is>
          <t>https://www.ditp.gouv.sn/download/file/fid/53</t>
        </is>
      </c>
      <c r="C2" s="2" t="n">
        <v>2015</v>
      </c>
      <c r="D2" s="2" t="inlineStr">
        <is>
          <t>Refound the maritime fisheries management framework, including marine environment protection and fishing-gear control — notably nylon monofilament/multimonofilament nets — relevant to plastic fishing gear and ghost-gear reduction, without plastic marine litter-specific measures.</t>
        </is>
      </c>
      <c r="E2" s="2" t="n">
        <v>0.75</v>
      </c>
      <c r="F2" s="2" t="inlineStr">
        <is>
          <t>Art. 66: ban on gillnets made from nylon monofilament or multimonofilament elements; Art. 68: mandatory registration and marking of artisanal fishing vessels and gear; Art. 125: prohibited gear confiscated and destroyed.</t>
        </is>
      </c>
      <c r="G2" s="2" t="n">
        <v>1</v>
      </c>
      <c r="H2" s="2" t="inlineStr">
        <is>
          <t>Maritime Fisheries Code adopted by the National Assembly on 30 June 2015 and promulgated on 13 July 2015 as Law No. 2015-18. Parliamentary legislation (Code), not executive implementing regulation (≠0.75).</t>
        </is>
      </c>
      <c r="I2" s="2" t="n">
        <v>1</v>
      </c>
      <c r="J2" s="2" t="inlineStr">
        <is>
          <t>maritime fisheries, artisanal fishing, industrial fishing, marine environment, maritime trade</t>
        </is>
      </c>
      <c r="K2" s="2" t="n">
        <v>0.5</v>
      </c>
      <c r="L2" s="2" t="inlineStr">
        <is>
          <t>use, disposal, marine environment</t>
        </is>
      </c>
      <c r="M2" s="2" t="n">
        <v>0.25</v>
      </c>
      <c r="N2" s="2" t="inlineStr">
        <is>
          <t>Art. 64: fee for permits and authorisations (amount set by joint ministerial order); Arts. 123-127: criminal fines up to FCFA 30,000,000 for serious industrial fishing offences; no dedicated budget allocation for marine litter or gear recovery.</t>
        </is>
      </c>
      <c r="O2" s="3">
        <f>AVERAGE(G2,I2,K2,M2,P2)</f>
        <v/>
      </c>
      <c r="P2" s="2" t="n">
        <v>1</v>
      </c>
      <c r="Q2" s="2" t="inlineStr">
        <is>
          <t>Use</t>
        </is>
      </c>
      <c r="R2" s="2" t="inlineStr">
        <is>
          <t>Art. 66: import, sale, purchase, possession and use of gillnets made from nylon monofilament or multimonofilament elements are prohibited except by special derogation.</t>
        </is>
      </c>
      <c r="S2" s="2" t="n">
        <v>1</v>
      </c>
      <c r="T2" s="2" t="n">
        <v>0.75</v>
      </c>
      <c r="U2" s="2" t="inlineStr">
        <is>
          <t>Exposé des motifs: prohibition raised to legislative level to combat ghost gear (+0.25 enforcement); Arts. 125-126: use of prohibited gear is a very serious offence with confiscation and destruction (+0.25 enforcement); Arts. 84-85: surveillance agents may inspect vessels and gear at sea (+0.25 authority).</t>
        </is>
      </c>
      <c r="V2" s="3">
        <f>AVERAGE(P2,T2)</f>
        <v/>
      </c>
      <c r="W2" s="2" t="inlineStr">
        <is>
          <t>Direct ban on nylon (plastic polymer) nets — main explicit link to marine plastics/ghost gear.</t>
        </is>
      </c>
    </row>
    <row r="3">
      <c r="A3" s="2" t="inlineStr">
        <is>
          <t>Law No. 2015-18 of 13 July 2015 establishing the Maritime Fisheries Code</t>
        </is>
      </c>
      <c r="B3" s="2" t="inlineStr">
        <is>
          <t>https://www.ditp.gouv.sn/download/file/fid/53</t>
        </is>
      </c>
      <c r="C3" s="2" t="n">
        <v>2015</v>
      </c>
      <c r="D3" s="2" t="inlineStr">
        <is>
          <t>Refound the maritime fisheries management framework, including marine environment protection and fishing-gear control — notably nylon monofilament/multimonofilament nets — relevant to plastic fishing gear and ghost-gear reduction, without plastic marine litter-specific measures.</t>
        </is>
      </c>
      <c r="E3" s="2" t="n">
        <v>0.75</v>
      </c>
      <c r="F3" s="2" t="inlineStr">
        <is>
          <t>Art. 66: ban on gillnets made from nylon monofilament or multimonofilament elements; Art. 68: mandatory registration and marking of artisanal fishing vessels and gear; Art. 125: prohibited gear confiscated and destroyed.</t>
        </is>
      </c>
      <c r="G3" s="2" t="n">
        <v>1</v>
      </c>
      <c r="H3" s="2" t="inlineStr">
        <is>
          <t>Maritime Fisheries Code adopted by the National Assembly on 30 June 2015 and promulgated on 13 July 2015 as Law No. 2015-18. Parliamentary legislation (Code), not executive implementing regulation (≠0.75).</t>
        </is>
      </c>
      <c r="I3" s="2" t="n">
        <v>1</v>
      </c>
      <c r="J3" s="2" t="inlineStr">
        <is>
          <t>maritime fisheries, artisanal fishing, industrial fishing, marine environment, maritime trade</t>
        </is>
      </c>
      <c r="K3" s="2" t="n">
        <v>0.5</v>
      </c>
      <c r="L3" s="2" t="inlineStr">
        <is>
          <t>use, disposal, marine environment</t>
        </is>
      </c>
      <c r="M3" s="2" t="n">
        <v>0.25</v>
      </c>
      <c r="N3" s="2" t="inlineStr">
        <is>
          <t>Art. 64: fee for permits and authorisations (amount set by joint ministerial order); Arts. 123-127: criminal fines up to FCFA 30,000,000 for serious industrial fishing offences; no dedicated budget allocation for marine litter or gear recovery.</t>
        </is>
      </c>
      <c r="O3" s="3">
        <f>AVERAGE(G3,I3,K3,M3,P3)</f>
        <v/>
      </c>
      <c r="P3" s="2" t="n">
        <v>0.75</v>
      </c>
      <c r="Q3" s="2" t="inlineStr">
        <is>
          <t>Use</t>
        </is>
      </c>
      <c r="R3" s="2" t="inlineStr">
        <is>
          <t>Art. 68: all artisanal fishing vessels belonging to nationals are registered and marked under ministerial rules; same for foreign residents' vessels. Art. 33(k): regulatory measures on signalling of artisanal fishing gear.</t>
        </is>
      </c>
      <c r="S3" s="2" t="n">
        <v>1</v>
      </c>
      <c r="T3" s="2" t="n">
        <v>0.75</v>
      </c>
      <c r="U3" s="2" t="inlineStr">
        <is>
          <t>Art. 83: Minister responsible for fisheries surveillance and protection (+0.25 authority); Arts. 84-85: agents may inspect fishing gear on board or have gear removed from water (+0.25 monitoring); Decree 2016-1804 Arts. 56-58: vessel marking specifications (+0.25 enforcement).</t>
        </is>
      </c>
      <c r="V3" s="3">
        <f>AVERAGE(P3,T3)</f>
        <v/>
      </c>
      <c r="W3" s="2" t="inlineStr">
        <is>
          <t>Gear traceability and marking — relevant for identifying and recovering abandoned gear.</t>
        </is>
      </c>
    </row>
    <row r="4">
      <c r="A4" s="2" t="inlineStr">
        <is>
          <t>Law No. 2015-18 of 13 July 2015 establishing the Maritime Fisheries Code</t>
        </is>
      </c>
      <c r="B4" s="2" t="inlineStr">
        <is>
          <t>https://www.ditp.gouv.sn/download/file/fid/53</t>
        </is>
      </c>
      <c r="C4" s="2" t="n">
        <v>2015</v>
      </c>
      <c r="D4" s="2" t="inlineStr">
        <is>
          <t>Refound the maritime fisheries management framework, including marine environment protection and fishing-gear control — notably nylon monofilament/multimonofilament nets — relevant to plastic fishing gear and ghost-gear reduction, without plastic marine litter-specific measures.</t>
        </is>
      </c>
      <c r="E4" s="2" t="n">
        <v>0.75</v>
      </c>
      <c r="F4" s="2" t="inlineStr">
        <is>
          <t>Art. 66: ban on gillnets made from nylon monofilament or multimonofilament elements; Art. 68: mandatory registration and marking of artisanal fishing vessels and gear; Art. 125: prohibited gear confiscated and destroyed.</t>
        </is>
      </c>
      <c r="G4" s="2" t="n">
        <v>1</v>
      </c>
      <c r="H4" s="2" t="inlineStr">
        <is>
          <t>Maritime Fisheries Code adopted by the National Assembly on 30 June 2015 and promulgated on 13 July 2015 as Law No. 2015-18. Parliamentary legislation (Code), not executive implementing regulation (≠0.75).</t>
        </is>
      </c>
      <c r="I4" s="2" t="n">
        <v>1</v>
      </c>
      <c r="J4" s="2" t="inlineStr">
        <is>
          <t>maritime fisheries, artisanal fishing, industrial fishing, marine environment, maritime trade</t>
        </is>
      </c>
      <c r="K4" s="2" t="n">
        <v>0.5</v>
      </c>
      <c r="L4" s="2" t="inlineStr">
        <is>
          <t>use, disposal, marine environment</t>
        </is>
      </c>
      <c r="M4" s="2" t="n">
        <v>0.25</v>
      </c>
      <c r="N4" s="2" t="inlineStr">
        <is>
          <t>Art. 64: fee for permits and authorisations (amount set by joint ministerial order); Arts. 123-127: criminal fines up to FCFA 30,000,000 for serious industrial fishing offences; no dedicated budget allocation for marine litter or gear recovery.</t>
        </is>
      </c>
      <c r="O4" s="3">
        <f>AVERAGE(G4,I4,K4,M4,P4)</f>
        <v/>
      </c>
      <c r="P4" s="2" t="n">
        <v>1</v>
      </c>
      <c r="Q4" s="2" t="inlineStr">
        <is>
          <t>Disposal</t>
        </is>
      </c>
      <c r="R4" s="2" t="inlineStr">
        <is>
          <t>Art. 125(a),(e): very serious offences include use of prohibited fishing gear or methods and use of devices reducing mesh opening below the minimum or reducing selective action; gear is confiscated and destroyed.</t>
        </is>
      </c>
      <c r="S4" s="2" t="n">
        <v>1</v>
      </c>
      <c r="T4" s="2" t="n">
        <v>0.75</v>
      </c>
      <c r="U4" s="2" t="inlineStr">
        <is>
          <t>Penalty: FCFA 20,000,000-30,000,000 for industrial fishing (+0.25 enforcement); Art. 126: artisanal fishing FCFA 150,000-300,000 with gear confiscation and destruction (+0.25 enforcement); Art. 85(a): agents may have fishing gear removed from water (+0.25 authority).</t>
        </is>
      </c>
      <c r="V4" s="3">
        <f>AVERAGE(P4,T4)</f>
        <v/>
      </c>
      <c r="W4" s="2" t="inlineStr">
        <is>
          <t>Confiscation and destruction of illegal gear — elimination mechanism for prohibited plastic fishing gear.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2026-07-23T10:30:39Z</dcterms:created>
  <dcterms:modified xmlns:dcterms="http://purl.org/dc/terms/" xmlns:xsi="http://www.w3.org/2001/XMLSchema-instance" xsi:type="dcterms:W3CDTF">2026-07-23T10:30:39Z</dcterms:modified>
</cp:coreProperties>
</file>