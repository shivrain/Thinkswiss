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4P Index Cod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52" customWidth="1" min="2" max="2"/>
    <col width="10" customWidth="1" min="3" max="3"/>
    <col width="52" customWidth="1" min="4" max="4"/>
    <col width="12" customWidth="1" min="5" max="5"/>
    <col width="60" customWidth="1" min="6" max="6"/>
    <col width="10" customWidth="1" min="7" max="7"/>
    <col width="52" customWidth="1" min="8" max="8"/>
    <col width="14" customWidth="1" min="9" max="9"/>
    <col width="40" customWidth="1" min="10" max="10"/>
    <col width="14" customWidth="1" min="11" max="11"/>
    <col width="36" customWidth="1" min="12" max="12"/>
    <col width="12" customWidth="1" min="13" max="13"/>
    <col width="52" customWidth="1" min="14" max="14"/>
    <col width="12" customWidth="1" min="15" max="15"/>
    <col width="14" customWidth="1" min="16" max="16"/>
    <col width="22" customWidth="1" min="17" max="17"/>
    <col width="60" customWidth="1" min="18" max="18"/>
    <col width="14" customWidth="1" min="19" max="19"/>
    <col width="18" customWidth="1" min="20" max="20"/>
    <col width="52" customWidth="1" min="21" max="21"/>
    <col width="14" customWidth="1" min="22" max="22"/>
    <col width="52" customWidth="1" min="23" max="23"/>
  </cols>
  <sheetData>
    <row r="1">
      <c r="A1" s="1" t="inlineStr">
        <is>
          <t>A — policy_name</t>
        </is>
      </c>
      <c r="B1" s="1" t="inlineStr">
        <is>
          <t>B — policy_url</t>
        </is>
      </c>
      <c r="C1" s="1" t="inlineStr">
        <is>
          <t>C — policy_year</t>
        </is>
      </c>
      <c r="D1" s="1" t="inlineStr">
        <is>
          <t>D — policy_objective</t>
        </is>
      </c>
      <c r="E1" s="1" t="inlineStr">
        <is>
          <t>E — policy_target</t>
        </is>
      </c>
      <c r="F1" s="1" t="inlineStr">
        <is>
          <t>F — policy_target_text</t>
        </is>
      </c>
      <c r="G1" s="1" t="inlineStr">
        <is>
          <t>G — policy_type</t>
        </is>
      </c>
      <c r="H1" s="1" t="inlineStr">
        <is>
          <t>H — policy_type_justification</t>
        </is>
      </c>
      <c r="I1" s="1" t="inlineStr">
        <is>
          <t>I — policy_integration</t>
        </is>
      </c>
      <c r="J1" s="1" t="inlineStr">
        <is>
          <t>J — policy_sectors_list</t>
        </is>
      </c>
      <c r="K1" s="1" t="inlineStr">
        <is>
          <t>K — policy_circularity</t>
        </is>
      </c>
      <c r="L1" s="1" t="inlineStr">
        <is>
          <t>L — policy_lifecycle_phases_list</t>
        </is>
      </c>
      <c r="M1" s="1" t="inlineStr">
        <is>
          <t>M — policy_budget</t>
        </is>
      </c>
      <c r="N1" s="1" t="inlineStr">
        <is>
          <t>N — policy_budget_text</t>
        </is>
      </c>
      <c r="O1" s="1" t="inlineStr">
        <is>
          <t>O — policy_score</t>
        </is>
      </c>
      <c r="P1" s="1" t="inlineStr">
        <is>
          <t>P — instrument_type</t>
        </is>
      </c>
      <c r="Q1" s="1" t="inlineStr">
        <is>
          <t>Q — instrument_lifecycle_stage</t>
        </is>
      </c>
      <c r="R1" s="1" t="inlineStr">
        <is>
          <t>R — instrument_description</t>
        </is>
      </c>
      <c r="S1" s="1" t="inlineStr">
        <is>
          <t>S — instrument_in_force</t>
        </is>
      </c>
      <c r="T1" s="1" t="inlineStr">
        <is>
          <t>T — instrument_implementation</t>
        </is>
      </c>
      <c r="U1" s="1" t="inlineStr">
        <is>
          <t>U — instrument_implementation_text</t>
        </is>
      </c>
      <c r="V1" s="1" t="inlineStr">
        <is>
          <t>V — instrument_score</t>
        </is>
      </c>
      <c r="W1" s="1" t="inlineStr">
        <is>
          <t>W — comments</t>
        </is>
      </c>
    </row>
    <row r="2">
      <c r="A2" s="2" t="inlineStr">
        <is>
          <t>Loi n° 2013-10 du 28 décembre 2013 portant Code Général des Collectivités Territoriales (CGCT) / Law No. 2013-10 of 28 December 2013 establishing the General Code of Local Authorities (CGCT)</t>
        </is>
      </c>
      <c r="B2" s="2" t="inlineStr">
        <is>
          <t>https://www.dri.gouv.sn/sites/default/files/an-documents/LOI%20N%202013%2010%20DU%2028%20DECEMBRE%202013.pdf</t>
        </is>
      </c>
      <c r="C2" s="2" t="n">
        <v>2013</v>
      </c>
      <c r="D2" s="2" t="inlineStr">
        <is>
          <t>Refondre le cadre de décentralisation en définissant les compétences des départements et communes (collectivités territoriales), incluant la propreté municipale, la gestion des déchets ménagers, l'hygiène et la salubrité publique — cadre subnational clé pour les déchets solides, dont les plastiques, sans mesures spécifiques aux matières plastiques. / Refound the decentralisation framework by defining competences of departments and communes (local authorities), including municipal cleanliness, household waste management, hygiene and public health — key subnational framework for solid waste, including plastics, without plastic-specific measures.</t>
        </is>
      </c>
      <c r="E2" s="2" t="n">
        <v>0.75</v>
      </c>
      <c r="F2" s="2" t="inlineStr">
        <is>
          <t>Commune competence: 'la gestion des déchets et la lutte contre l insalubrité' / 'waste management and the fight against insalubrity'; municipal police: 'nettoiement' / 'cleaning', 'salubrité publics' / 'public health/salubrity'; communal taxes: 'taxe d enlèvement des ordures ménagères' / 'household waste collection tax', 'taxe de balayage' / 'street-sweeping tax'.</t>
        </is>
      </c>
      <c r="G2" s="2" t="n">
        <v>1</v>
      </c>
      <c r="H2" s="2" t="inlineStr">
        <is>
          <t>Code général adopté par l'Assemblée nationale le 19 décembre 2013 (procédure d'urgence) et promulgué le 28 décembre 2013 en tant que Loi n° 2013-10. Il s'agit d'une loi parlementaire (Code), et non d'un texte réglementaire d'application exécutive (≠0.75). / General Code adopted by the National Assembly on 19 December 2013 (urgency procedure) and promulgated on 28 December 2013 as Law No. 2013-10. It is parliamentary legislation (Code), not executive implementing regulation (≠0.75).</t>
        </is>
      </c>
      <c r="I2" s="2" t="n">
        <v>1</v>
      </c>
      <c r="J2" s="2" t="inlineStr">
        <is>
          <t>collectivités territoriales, assainissement, environnement, gouvernance locale, finances publiques locales / local government, sanitation, environment, local governance, local public finance</t>
        </is>
      </c>
      <c r="K2" s="2" t="n">
        <v>0.75</v>
      </c>
      <c r="L2" s="2" t="inlineStr">
        <is>
          <t>collecte, élimination, gouvernance / collection, disposal, governance</t>
        </is>
      </c>
      <c r="M2" s="2" t="n">
        <v>0.5</v>
      </c>
      <c r="N2" s="2" t="inlineStr">
        <is>
          <t>Art. 195: 'taxe d enlèvement des ordures ménagères' / 'household waste collection tax', 'taxe de balayage' / 'street-sweeping tax'; Art. 202: 'dépenses d entretien et néttoiement des rues' / 'expenditure on maintenance and cleaning of streets' and 'dépenses des services locaux de désinfection et d hygiène' / 'expenditure on local disinfection and hygiene services' are obligatory commune operating expenses.</t>
        </is>
      </c>
      <c r="O2" s="3">
        <f>AVERAGE(G2,I2,K2,M2,P2)</f>
        <v/>
      </c>
      <c r="P2" s="2" t="n">
        <v>0.75</v>
      </c>
      <c r="Q2" s="2" t="inlineStr">
        <is>
          <t>Governance</t>
        </is>
      </c>
      <c r="R2" s="2" t="inlineStr">
        <is>
          <t>Art. 3: 'Les collectivités locales ont pour mission la conception, la programmation et la mise en œuvre des actions de développement économique, social et environnemental d intérêt local' / 'Local authorities are tasked with designing, programming and implementing local economic, social and environmental development actions'.</t>
        </is>
      </c>
      <c r="S2" s="2" t="n">
        <v>1</v>
      </c>
      <c r="T2" s="2" t="n">
        <v>0.75</v>
      </c>
      <c r="U2" s="2" t="inlineStr">
        <is>
          <t>Art. 4: 'La loi détermine les compétences des collectivités locales' / 'The law determines local authority competences'; any competence transfer must be accompanied by concomitant transfer of resources and means by the State.</t>
        </is>
      </c>
      <c r="V2" s="3">
        <f>AVERAGE(P2,T2)</f>
        <v/>
      </c>
      <c r="W2" s="2" t="inlineStr">
        <is>
          <t>Cadre de gouvernance locale intégrant l'environnement; base pour compétences déchets sans mention des plastiques. / Local governance framework integrating environment; basis for waste competences without plastic mention.</t>
        </is>
      </c>
    </row>
    <row r="3">
      <c r="A3" s="2" t="inlineStr">
        <is>
          <t>Loi n° 2013-10 du 28 décembre 2013 portant Code Général des Collectivités Territoriales (CGCT) / Law No. 2013-10 of 28 December 2013 establishing the General Code of Local Authorities (CGCT)</t>
        </is>
      </c>
      <c r="B3" s="2" t="inlineStr">
        <is>
          <t>https://www.dri.gouv.sn/sites/default/files/an-documents/LOI%20N%202013%2010%20DU%2028%20DECEMBRE%202013.pdf</t>
        </is>
      </c>
      <c r="C3" s="2" t="n">
        <v>2013</v>
      </c>
      <c r="D3" s="2" t="inlineStr">
        <is>
          <t>Refondre le cadre de décentralisation en définissant les compétences des départements et communes (collectivités territoriales), incluant la propreté municipale, la gestion des déchets ménagers, l'hygiène et la salubrité publique — cadre subnational clé pour les déchets solides, dont les plastiques, sans mesures spécifiques aux matières plastiques. / Refound the decentralisation framework by defining competences of departments and communes (local authorities), including municipal cleanliness, household waste management, hygiene and public health — key subnational framework for solid waste, including plastics, without plastic-specific measures.</t>
        </is>
      </c>
      <c r="E3" s="2" t="n">
        <v>0.75</v>
      </c>
      <c r="F3" s="2" t="inlineStr">
        <is>
          <t>Commune competence: 'la gestion des déchets et la lutte contre l insalubrité' / 'waste management and the fight against insalubrity'; municipal police: 'nettoiement' / 'cleaning', 'salubrité publics' / 'public health/salubrity'; communal taxes: 'taxe d enlèvement des ordures ménagères' / 'household waste collection tax', 'taxe de balayage' / 'street-sweeping tax'.</t>
        </is>
      </c>
      <c r="G3" s="2" t="n">
        <v>1</v>
      </c>
      <c r="H3" s="2" t="inlineStr">
        <is>
          <t>Code général adopté par l'Assemblée nationale le 19 décembre 2013 (procédure d'urgence) et promulgué le 28 décembre 2013 en tant que Loi n° 2013-10. Il s'agit d'une loi parlementaire (Code), et non d'un texte réglementaire d'application exécutive (≠0.75). / General Code adopted by the National Assembly on 19 December 2013 (urgency procedure) and promulgated on 28 December 2013 as Law No. 2013-10. It is parliamentary legislation (Code), not executive implementing regulation (≠0.75).</t>
        </is>
      </c>
      <c r="I3" s="2" t="n">
        <v>1</v>
      </c>
      <c r="J3" s="2" t="inlineStr">
        <is>
          <t>collectivités territoriales, assainissement, environnement, gouvernance locale, finances publiques locales / local government, sanitation, environment, local governance, local public finance</t>
        </is>
      </c>
      <c r="K3" s="2" t="n">
        <v>0.75</v>
      </c>
      <c r="L3" s="2" t="inlineStr">
        <is>
          <t>collecte, élimination, gouvernance / collection, disposal, governance</t>
        </is>
      </c>
      <c r="M3" s="2" t="n">
        <v>0.5</v>
      </c>
      <c r="N3" s="2" t="inlineStr">
        <is>
          <t>Art. 195: 'taxe d enlèvement des ordures ménagères' / 'household waste collection tax', 'taxe de balayage' / 'street-sweeping tax'; Art. 202: 'dépenses d entretien et néttoiement des rues' / 'expenditure on maintenance and cleaning of streets' and 'dépenses des services locaux de désinfection et d hygiène' / 'expenditure on local disinfection and hygiene services' are obligatory commune operating expenses.</t>
        </is>
      </c>
      <c r="O3" s="3">
        <f>AVERAGE(G3,I3,K3,M3,P3)</f>
        <v/>
      </c>
      <c r="P3" s="2" t="n">
        <v>0.75</v>
      </c>
      <c r="Q3" s="2" t="inlineStr">
        <is>
          <t>Disposal</t>
        </is>
      </c>
      <c r="R3" s="2" t="inlineStr">
        <is>
          <t>Art. 106 (11): 'de veiller à la protection de l environnement, de prendre en conséquence les mesures propres, d une part, à empêcher ou à supprimer la pollution et les nuisances, d autre part, à assurer la protection des espaces verts et, enfin, à contribuer à l embellissement de la commune' / 'to ensure environmental protection and accordingly take measures to prevent or eliminate pollution and nuisances, protect green spaces and contribute to beautifying the commune'.</t>
        </is>
      </c>
      <c r="S3" s="2" t="n">
        <v>1</v>
      </c>
      <c r="T3" s="2" t="n">
        <v>0.75</v>
      </c>
      <c r="U3" s="2" t="inlineStr">
        <is>
          <t>Mayor duties under council control (Art. 106); municipal police under Arts. 118–119; State representative may intervene if mayor fails (Arts. 128–129).</t>
        </is>
      </c>
      <c r="V3" s="3">
        <f>AVERAGE(P3,T3)</f>
        <v/>
      </c>
      <c r="W3" s="2" t="inlineStr">
        <is>
          <t>Pouvoir exécutif communal sur pollution/nuisances — pertinent pour déchets solides et plastiques en espace public. / Commune executive power over pollution/nuisances — relevant for solid waste and plastics in public space.</t>
        </is>
      </c>
    </row>
    <row r="4">
      <c r="A4" s="2" t="inlineStr">
        <is>
          <t>Loi n° 2013-10 du 28 décembre 2013 portant Code Général des Collectivités Territoriales (CGCT) / Law No. 2013-10 of 28 December 2013 establishing the General Code of Local Authorities (CGCT)</t>
        </is>
      </c>
      <c r="B4" s="2" t="inlineStr">
        <is>
          <t>https://www.dri.gouv.sn/sites/default/files/an-documents/LOI%20N%202013%2010%20DU%2028%20DECEMBRE%202013.pdf</t>
        </is>
      </c>
      <c r="C4" s="2" t="n">
        <v>2013</v>
      </c>
      <c r="D4" s="2" t="inlineStr">
        <is>
          <t>Refondre le cadre de décentralisation en définissant les compétences des départements et communes (collectivités territoriales), incluant la propreté municipale, la gestion des déchets ménagers, l'hygiène et la salubrité publique — cadre subnational clé pour les déchets solides, dont les plastiques, sans mesures spécifiques aux matières plastiques. / Refound the decentralisation framework by defining competences of departments and communes (local authorities), including municipal cleanliness, household waste management, hygiene and public health — key subnational framework for solid waste, including plastics, without plastic-specific measures.</t>
        </is>
      </c>
      <c r="E4" s="2" t="n">
        <v>0.75</v>
      </c>
      <c r="F4" s="2" t="inlineStr">
        <is>
          <t>Commune competence: 'la gestion des déchets et la lutte contre l insalubrité' / 'waste management and the fight against insalubrity'; municipal police: 'nettoiement' / 'cleaning', 'salubrité publics' / 'public health/salubrity'; communal taxes: 'taxe d enlèvement des ordures ménagères' / 'household waste collection tax', 'taxe de balayage' / 'street-sweeping tax'.</t>
        </is>
      </c>
      <c r="G4" s="2" t="n">
        <v>1</v>
      </c>
      <c r="H4" s="2" t="inlineStr">
        <is>
          <t>Code général adopté par l'Assemblée nationale le 19 décembre 2013 (procédure d'urgence) et promulgué le 28 décembre 2013 en tant que Loi n° 2013-10. Il s'agit d'une loi parlementaire (Code), et non d'un texte réglementaire d'application exécutive (≠0.75). / General Code adopted by the National Assembly on 19 December 2013 (urgency procedure) and promulgated on 28 December 2013 as Law No. 2013-10. It is parliamentary legislation (Code), not executive implementing regulation (≠0.75).</t>
        </is>
      </c>
      <c r="I4" s="2" t="n">
        <v>1</v>
      </c>
      <c r="J4" s="2" t="inlineStr">
        <is>
          <t>collectivités territoriales, assainissement, environnement, gouvernance locale, finances publiques locales / local government, sanitation, environment, local governance, local public finance</t>
        </is>
      </c>
      <c r="K4" s="2" t="n">
        <v>0.75</v>
      </c>
      <c r="L4" s="2" t="inlineStr">
        <is>
          <t>collecte, élimination, gouvernance / collection, disposal, governance</t>
        </is>
      </c>
      <c r="M4" s="2" t="n">
        <v>0.5</v>
      </c>
      <c r="N4" s="2" t="inlineStr">
        <is>
          <t>Art. 195: 'taxe d enlèvement des ordures ménagères' / 'household waste collection tax', 'taxe de balayage' / 'street-sweeping tax'; Art. 202: 'dépenses d entretien et néttoiement des rues' / 'expenditure on maintenance and cleaning of streets' and 'dépenses des services locaux de désinfection et d hygiène' / 'expenditure on local disinfection and hygiene services' are obligatory commune operating expenses.</t>
        </is>
      </c>
      <c r="O4" s="3">
        <f>AVERAGE(G4,I4,K4,M4,P4)</f>
        <v/>
      </c>
      <c r="P4" s="2" t="n">
        <v>1</v>
      </c>
      <c r="Q4" s="2" t="inlineStr">
        <is>
          <t>Collection</t>
        </is>
      </c>
      <c r="R4" s="2" t="inlineStr">
        <is>
          <t>Art. 119: 'La police municipale a... pour objet d assurer le bon ordre, la sûreté, la tranquillité, la sécurité et la salubrité publics' / 'Municipal police aims to ensure public order, safety, tranquillity, security and salubrity'. Mission 1 includes 'le nettoiement, l éclairage, l enlèvement des encombrements' / 'cleaning, lighting, removal of obstructions' on public streets and places, and 'les modalités de mise en œuvre des missions relatives au nettoiement et à la salubrité' / 'modalities for implementing cleaning and salubrity missions' in capital-region local authorities by decree where needed.</t>
        </is>
      </c>
      <c r="S4" s="2" t="n">
        <v>1</v>
      </c>
      <c r="T4" s="2" t="n">
        <v>0.75</v>
      </c>
      <c r="U4" s="2" t="inlineStr">
        <is>
          <t>Art. 118: mayor responsible for municipal police under State representative control; municipal police service created by decree. Art. 124: State may act if municipal authorities fail.</t>
        </is>
      </c>
      <c r="V4" s="3">
        <f>AVERAGE(P4,T4)</f>
        <v/>
      </c>
      <c r="W4" s="2" t="inlineStr">
        <is>
          <t>Police municipale — nettoiement et salubrité publique; cadre direct pour collecte/enlèvement des déchets en voirie. / Municipal police — public cleaning and salubrity; direct framework for waste collection/removal on roads.</t>
        </is>
      </c>
    </row>
    <row r="5">
      <c r="A5" s="2" t="inlineStr">
        <is>
          <t>Loi n° 2013-10 du 28 décembre 2013 portant Code Général des Collectivités Territoriales (CGCT) / Law No. 2013-10 of 28 December 2013 establishing the General Code of Local Authorities (CGCT)</t>
        </is>
      </c>
      <c r="B5" s="2" t="inlineStr">
        <is>
          <t>https://www.dri.gouv.sn/sites/default/files/an-documents/LOI%20N%202013%2010%20DU%2028%20DECEMBRE%202013.pdf</t>
        </is>
      </c>
      <c r="C5" s="2" t="n">
        <v>2013</v>
      </c>
      <c r="D5" s="2" t="inlineStr">
        <is>
          <t>Refondre le cadre de décentralisation en définissant les compétences des départements et communes (collectivités territoriales), incluant la propreté municipale, la gestion des déchets ménagers, l'hygiène et la salubrité publique — cadre subnational clé pour les déchets solides, dont les plastiques, sans mesures spécifiques aux matières plastiques. / Refound the decentralisation framework by defining competences of departments and communes (local authorities), including municipal cleanliness, household waste management, hygiene and public health — key subnational framework for solid waste, including plastics, without plastic-specific measures.</t>
        </is>
      </c>
      <c r="E5" s="2" t="n">
        <v>0.75</v>
      </c>
      <c r="F5" s="2" t="inlineStr">
        <is>
          <t>Commune competence: 'la gestion des déchets et la lutte contre l insalubrité' / 'waste management and the fight against insalubrity'; municipal police: 'nettoiement' / 'cleaning', 'salubrité publics' / 'public health/salubrity'; communal taxes: 'taxe d enlèvement des ordures ménagères' / 'household waste collection tax', 'taxe de balayage' / 'street-sweeping tax'.</t>
        </is>
      </c>
      <c r="G5" s="2" t="n">
        <v>1</v>
      </c>
      <c r="H5" s="2" t="inlineStr">
        <is>
          <t>Code général adopté par l'Assemblée nationale le 19 décembre 2013 (procédure d'urgence) et promulgué le 28 décembre 2013 en tant que Loi n° 2013-10. Il s'agit d'une loi parlementaire (Code), et non d'un texte réglementaire d'application exécutive (≠0.75). / General Code adopted by the National Assembly on 19 December 2013 (urgency procedure) and promulgated on 28 December 2013 as Law No. 2013-10. It is parliamentary legislation (Code), not executive implementing regulation (≠0.75).</t>
        </is>
      </c>
      <c r="I5" s="2" t="n">
        <v>1</v>
      </c>
      <c r="J5" s="2" t="inlineStr">
        <is>
          <t>collectivités territoriales, assainissement, environnement, gouvernance locale, finances publiques locales / local government, sanitation, environment, local governance, local public finance</t>
        </is>
      </c>
      <c r="K5" s="2" t="n">
        <v>0.75</v>
      </c>
      <c r="L5" s="2" t="inlineStr">
        <is>
          <t>collecte, élimination, gouvernance / collection, disposal, governance</t>
        </is>
      </c>
      <c r="M5" s="2" t="n">
        <v>0.5</v>
      </c>
      <c r="N5" s="2" t="inlineStr">
        <is>
          <t>Art. 195: 'taxe d enlèvement des ordures ménagères' / 'household waste collection tax', 'taxe de balayage' / 'street-sweeping tax'; Art. 202: 'dépenses d entretien et néttoiement des rues' / 'expenditure on maintenance and cleaning of streets' and 'dépenses des services locaux de désinfection et d hygiène' / 'expenditure on local disinfection and hygiene services' are obligatory commune operating expenses.</t>
        </is>
      </c>
      <c r="O5" s="3">
        <f>AVERAGE(G5,I5,K5,M5,P5)</f>
        <v/>
      </c>
      <c r="P5" s="2" t="n">
        <v>0.75</v>
      </c>
      <c r="Q5" s="2" t="inlineStr">
        <is>
          <t>Disposal</t>
        </is>
      </c>
      <c r="R5" s="2" t="inlineStr">
        <is>
          <t>Art. 122: 'Le maire peut prescrire... d entourer d une clôture suffisante les puits et les excavations présentant un danger pour la sécurité publique, ainsi que les terrains insalubres présentant un danger pour la santé publique' / 'The mayor may require owners or occupiers to fence wells and excavations dangerous to public safety, as well as insalubrious land dangerous to public health'.</t>
        </is>
      </c>
      <c r="S5" s="2" t="n">
        <v>1</v>
      </c>
      <c r="T5" s="2" t="n">
        <v>0.5</v>
      </c>
      <c r="U5" s="2" t="inlineStr">
        <is>
          <t>Art. 128–129: Minister may execute measures d'office if mayor refuses or neglects prescribed acts.</t>
        </is>
      </c>
      <c r="V5" s="3">
        <f>AVERAGE(P5,T5)</f>
        <v/>
      </c>
      <c r="W5" s="2" t="inlineStr">
        <is>
          <t>Lutte contre l'insalubrité des terrains; complète la compétence déchets (Art. 205 Livre IV). / Fight against insalubrious land; complements waste competence (Art. 205 Livre IV).</t>
        </is>
      </c>
    </row>
    <row r="6">
      <c r="A6" s="2" t="inlineStr">
        <is>
          <t>Loi n° 2013-10 du 28 décembre 2013 portant Code Général des Collectivités Territoriales (CGCT) / Law No. 2013-10 of 28 December 2013 establishing the General Code of Local Authorities (CGCT)</t>
        </is>
      </c>
      <c r="B6" s="2" t="inlineStr">
        <is>
          <t>https://www.dri.gouv.sn/sites/default/files/an-documents/LOI%20N%202013%2010%20DU%2028%20DECEMBRE%202013.pdf</t>
        </is>
      </c>
      <c r="C6" s="2" t="n">
        <v>2013</v>
      </c>
      <c r="D6" s="2" t="inlineStr">
        <is>
          <t>Refondre le cadre de décentralisation en définissant les compétences des départements et communes (collectivités territoriales), incluant la propreté municipale, la gestion des déchets ménagers, l'hygiène et la salubrité publique — cadre subnational clé pour les déchets solides, dont les plastiques, sans mesures spécifiques aux matières plastiques. / Refound the decentralisation framework by defining competences of departments and communes (local authorities), including municipal cleanliness, household waste management, hygiene and public health — key subnational framework for solid waste, including plastics, without plastic-specific measures.</t>
        </is>
      </c>
      <c r="E6" s="2" t="n">
        <v>0.75</v>
      </c>
      <c r="F6" s="2" t="inlineStr">
        <is>
          <t>Commune competence: 'la gestion des déchets et la lutte contre l insalubrité' / 'waste management and the fight against insalubrity'; municipal police: 'nettoiement' / 'cleaning', 'salubrité publics' / 'public health/salubrity'; communal taxes: 'taxe d enlèvement des ordures ménagères' / 'household waste collection tax', 'taxe de balayage' / 'street-sweeping tax'.</t>
        </is>
      </c>
      <c r="G6" s="2" t="n">
        <v>1</v>
      </c>
      <c r="H6" s="2" t="inlineStr">
        <is>
          <t>Code général adopté par l'Assemblée nationale le 19 décembre 2013 (procédure d'urgence) et promulgué le 28 décembre 2013 en tant que Loi n° 2013-10. Il s'agit d'une loi parlementaire (Code), et non d'un texte réglementaire d'application exécutive (≠0.75). / General Code adopted by the National Assembly on 19 December 2013 (urgency procedure) and promulgated on 28 December 2013 as Law No. 2013-10. It is parliamentary legislation (Code), not executive implementing regulation (≠0.75).</t>
        </is>
      </c>
      <c r="I6" s="2" t="n">
        <v>1</v>
      </c>
      <c r="J6" s="2" t="inlineStr">
        <is>
          <t>collectivités territoriales, assainissement, environnement, gouvernance locale, finances publiques locales / local government, sanitation, environment, local governance, local public finance</t>
        </is>
      </c>
      <c r="K6" s="2" t="n">
        <v>0.75</v>
      </c>
      <c r="L6" s="2" t="inlineStr">
        <is>
          <t>collecte, élimination, gouvernance / collection, disposal, governance</t>
        </is>
      </c>
      <c r="M6" s="2" t="n">
        <v>0.5</v>
      </c>
      <c r="N6" s="2" t="inlineStr">
        <is>
          <t>Art. 195: 'taxe d enlèvement des ordures ménagères' / 'household waste collection tax', 'taxe de balayage' / 'street-sweeping tax'; Art. 202: 'dépenses d entretien et néttoiement des rues' / 'expenditure on maintenance and cleaning of streets' and 'dépenses des services locaux de désinfection et d hygiène' / 'expenditure on local disinfection and hygiene services' are obligatory commune operating expenses.</t>
        </is>
      </c>
      <c r="O6" s="3">
        <f>AVERAGE(G6,I6,K6,M6,P6)</f>
        <v/>
      </c>
      <c r="P6" s="2" t="n">
        <v>0.75</v>
      </c>
      <c r="Q6" s="2" t="inlineStr">
        <is>
          <t>Governance</t>
        </is>
      </c>
      <c r="R6" s="2" t="inlineStr">
        <is>
          <t>Art. 126: 'Les maires peuvent nommer des agents assermentés, chargés, sous le contrôle du service d hygiène, de fonctions relatives à la police sanitaire de la commune' / 'Mayors may appoint sworn agents, under hygiene service supervision, for functions relating to municipal sanitary police'.</t>
        </is>
      </c>
      <c r="S6" s="2" t="n">
        <v>1</v>
      </c>
      <c r="T6" s="2" t="n">
        <v>0.5</v>
      </c>
      <c r="U6" s="2" t="inlineStr">
        <is>
          <t>Linked to Art. 202 (14): obligatory expenditure on 'services locaux de désinfection et d hygiène' / 'local disinfection and hygiene services'.</t>
        </is>
      </c>
      <c r="V6" s="3">
        <f>AVERAGE(P6,T6)</f>
        <v/>
      </c>
      <c r="W6" s="2" t="inlineStr">
        <is>
          <t>Mise en œuvre institutionnelle de l'hygiène communale. / Institutional implementation of municipal hygiene.</t>
        </is>
      </c>
    </row>
    <row r="7">
      <c r="A7" s="2" t="inlineStr">
        <is>
          <t>Loi n° 2013-10 du 28 décembre 2013 portant Code Général des Collectivités Territoriales (CGCT) / Law No. 2013-10 of 28 December 2013 establishing the General Code of Local Authorities (CGCT)</t>
        </is>
      </c>
      <c r="B7" s="2" t="inlineStr">
        <is>
          <t>https://www.dri.gouv.sn/sites/default/files/an-documents/LOI%20N%202013%2010%20DU%2028%20DECEMBRE%202013.pdf</t>
        </is>
      </c>
      <c r="C7" s="2" t="n">
        <v>2013</v>
      </c>
      <c r="D7" s="2" t="inlineStr">
        <is>
          <t>Refondre le cadre de décentralisation en définissant les compétences des départements et communes (collectivités territoriales), incluant la propreté municipale, la gestion des déchets ménagers, l'hygiène et la salubrité publique — cadre subnational clé pour les déchets solides, dont les plastiques, sans mesures spécifiques aux matières plastiques. / Refound the decentralisation framework by defining competences of departments and communes (local authorities), including municipal cleanliness, household waste management, hygiene and public health — key subnational framework for solid waste, including plastics, without plastic-specific measures.</t>
        </is>
      </c>
      <c r="E7" s="2" t="n">
        <v>0.75</v>
      </c>
      <c r="F7" s="2" t="inlineStr">
        <is>
          <t>Commune competence: 'la gestion des déchets et la lutte contre l insalubrité' / 'waste management and the fight against insalubrity'; municipal police: 'nettoiement' / 'cleaning', 'salubrité publics' / 'public health/salubrity'; communal taxes: 'taxe d enlèvement des ordures ménagères' / 'household waste collection tax', 'taxe de balayage' / 'street-sweeping tax'.</t>
        </is>
      </c>
      <c r="G7" s="2" t="n">
        <v>1</v>
      </c>
      <c r="H7" s="2" t="inlineStr">
        <is>
          <t>Code général adopté par l'Assemblée nationale le 19 décembre 2013 (procédure d'urgence) et promulgué le 28 décembre 2013 en tant que Loi n° 2013-10. Il s'agit d'une loi parlementaire (Code), et non d'un texte réglementaire d'application exécutive (≠0.75). / General Code adopted by the National Assembly on 19 December 2013 (urgency procedure) and promulgated on 28 December 2013 as Law No. 2013-10. It is parliamentary legislation (Code), not executive implementing regulation (≠0.75).</t>
        </is>
      </c>
      <c r="I7" s="2" t="n">
        <v>1</v>
      </c>
      <c r="J7" s="2" t="inlineStr">
        <is>
          <t>collectivités territoriales, assainissement, environnement, gouvernance locale, finances publiques locales / local government, sanitation, environment, local governance, local public finance</t>
        </is>
      </c>
      <c r="K7" s="2" t="n">
        <v>0.75</v>
      </c>
      <c r="L7" s="2" t="inlineStr">
        <is>
          <t>collecte, élimination, gouvernance / collection, disposal, governance</t>
        </is>
      </c>
      <c r="M7" s="2" t="n">
        <v>0.5</v>
      </c>
      <c r="N7" s="2" t="inlineStr">
        <is>
          <t>Art. 195: 'taxe d enlèvement des ordures ménagères' / 'household waste collection tax', 'taxe de balayage' / 'street-sweeping tax'; Art. 202: 'dépenses d entretien et néttoiement des rues' / 'expenditure on maintenance and cleaning of streets' and 'dépenses des services locaux de désinfection et d hygiène' / 'expenditure on local disinfection and hygiene services' are obligatory commune operating expenses.</t>
        </is>
      </c>
      <c r="O7" s="3">
        <f>AVERAGE(G7,I7,K7,M7,P7)</f>
        <v/>
      </c>
      <c r="P7" s="2" t="n">
        <v>1</v>
      </c>
      <c r="Q7" s="2" t="inlineStr">
        <is>
          <t>Collection</t>
        </is>
      </c>
      <c r="R7" s="2" t="inlineStr">
        <is>
          <t>Art. 170 (ville): 'la gestion des déchets et la lutte contre l insalubrité' / 'waste management and the fight against insalubrity' transferred to the city (ville) level alongside other urban competences.</t>
        </is>
      </c>
      <c r="S7" s="2" t="n">
        <v>1</v>
      </c>
      <c r="T7" s="2" t="n">
        <v>0.75</v>
      </c>
      <c r="U7" s="2" t="inlineStr">
        <is>
          <t>Applies to cities (Dakar, Pikine, Guédiawaye, etc.) where waste competence sits above arrondissement communes; Art. 171 (10): city mayor must ensure environmental protection and prevent pollution/nuisances.</t>
        </is>
      </c>
      <c r="V7" s="3">
        <f>AVERAGE(P7,T7)</f>
        <v/>
      </c>
      <c r="W7" s="2" t="inlineStr">
        <is>
          <t>Compétence déchets au niveau ville dans les agglomérations urbaines; central pour gestion des déchets plastiques urbains. / Waste competence at city level in urban agglomerations; central for urban plastic waste management.</t>
        </is>
      </c>
    </row>
    <row r="8">
      <c r="A8" s="2" t="inlineStr">
        <is>
          <t>Loi n° 2013-10 du 28 décembre 2013 portant Code Général des Collectivités Territoriales (CGCT) / Law No. 2013-10 of 28 December 2013 establishing the General Code of Local Authorities (CGCT)</t>
        </is>
      </c>
      <c r="B8" s="2" t="inlineStr">
        <is>
          <t>https://www.dri.gouv.sn/sites/default/files/an-documents/LOI%20N%202013%2010%20DU%2028%20DECEMBRE%202013.pdf</t>
        </is>
      </c>
      <c r="C8" s="2" t="n">
        <v>2013</v>
      </c>
      <c r="D8" s="2" t="inlineStr">
        <is>
          <t>Refondre le cadre de décentralisation en définissant les compétences des départements et communes (collectivités territoriales), incluant la propreté municipale, la gestion des déchets ménagers, l'hygiène et la salubrité publique — cadre subnational clé pour les déchets solides, dont les plastiques, sans mesures spécifiques aux matières plastiques. / Refound the decentralisation framework by defining competences of departments and communes (local authorities), including municipal cleanliness, household waste management, hygiene and public health — key subnational framework for solid waste, including plastics, without plastic-specific measures.</t>
        </is>
      </c>
      <c r="E8" s="2" t="n">
        <v>0.75</v>
      </c>
      <c r="F8" s="2" t="inlineStr">
        <is>
          <t>Commune competence: 'la gestion des déchets et la lutte contre l insalubrité' / 'waste management and the fight against insalubrity'; municipal police: 'nettoiement' / 'cleaning', 'salubrité publics' / 'public health/salubrity'; communal taxes: 'taxe d enlèvement des ordures ménagères' / 'household waste collection tax', 'taxe de balayage' / 'street-sweeping tax'.</t>
        </is>
      </c>
      <c r="G8" s="2" t="n">
        <v>1</v>
      </c>
      <c r="H8" s="2" t="inlineStr">
        <is>
          <t>Code général adopté par l'Assemblée nationale le 19 décembre 2013 (procédure d'urgence) et promulgué le 28 décembre 2013 en tant que Loi n° 2013-10. Il s'agit d'une loi parlementaire (Code), et non d'un texte réglementaire d'application exécutive (≠0.75). / General Code adopted by the National Assembly on 19 December 2013 (urgency procedure) and promulgated on 28 December 2013 as Law No. 2013-10. It is parliamentary legislation (Code), not executive implementing regulation (≠0.75).</t>
        </is>
      </c>
      <c r="I8" s="2" t="n">
        <v>1</v>
      </c>
      <c r="J8" s="2" t="inlineStr">
        <is>
          <t>collectivités territoriales, assainissement, environnement, gouvernance locale, finances publiques locales / local government, sanitation, environment, local governance, local public finance</t>
        </is>
      </c>
      <c r="K8" s="2" t="n">
        <v>0.75</v>
      </c>
      <c r="L8" s="2" t="inlineStr">
        <is>
          <t>collecte, élimination, gouvernance / collection, disposal, governance</t>
        </is>
      </c>
      <c r="M8" s="2" t="n">
        <v>0.5</v>
      </c>
      <c r="N8" s="2" t="inlineStr">
        <is>
          <t>Art. 195: 'taxe d enlèvement des ordures ménagères' / 'household waste collection tax', 'taxe de balayage' / 'street-sweeping tax'; Art. 202: 'dépenses d entretien et néttoiement des rues' / 'expenditure on maintenance and cleaning of streets' and 'dépenses des services locaux de désinfection et d hygiène' / 'expenditure on local disinfection and hygiene services' are obligatory commune operating expenses.</t>
        </is>
      </c>
      <c r="O8" s="3">
        <f>AVERAGE(G8,I8,K8,M8,P8)</f>
        <v/>
      </c>
      <c r="P8" s="2" t="n">
        <v>0.75</v>
      </c>
      <c r="Q8" s="2" t="inlineStr">
        <is>
          <t>Collection</t>
        </is>
      </c>
      <c r="R8" s="2" t="inlineStr">
        <is>
          <t>Art. 205 (Livre IV, Titre II, Ch. II, S. 2 — commune): 'la gestion des déchets et la lutte contre l insalubrité' / 'waste management and the fight against insalubrity' among transferred commune competences on environment and natural resources (alongside 'l élaboration des plans communaux d action pour l environnement' / 'development of communal environmental action plans').</t>
        </is>
      </c>
      <c r="S8" s="2" t="n">
        <v>1</v>
      </c>
      <c r="T8" s="2" t="n">
        <v>0.75</v>
      </c>
      <c r="U8" s="2" t="inlineStr">
        <is>
          <t>Art. 203: obligatory expenses from competence transfers; Art. 202 (11)–(14): obligatory cleaning and hygiene service costs. Note: official PDF OCR reads 'Article 305' / 'Article 305' for this provision; legal numbering is Art. 205 in Livre IV.</t>
        </is>
      </c>
      <c r="V8" s="3">
        <f>AVERAGE(P8,T8)</f>
        <v/>
      </c>
      <c r="W8" s="2" t="inlineStr">
        <is>
          <t>Compétence explicite de gestion des déchets au niveau communal — pilier subnational pour déchets solides incluant plastiques. / Explicit waste management competence at commune level — key subnational pillar for solid waste including plastics.</t>
        </is>
      </c>
    </row>
    <row r="9">
      <c r="A9" s="2" t="inlineStr">
        <is>
          <t>Loi n° 2013-10 du 28 décembre 2013 portant Code Général des Collectivités Territoriales (CGCT) / Law No. 2013-10 of 28 December 2013 establishing the General Code of Local Authorities (CGCT)</t>
        </is>
      </c>
      <c r="B9" s="2" t="inlineStr">
        <is>
          <t>https://www.dri.gouv.sn/sites/default/files/an-documents/LOI%20N%202013%2010%20DU%2028%20DECEMBRE%202013.pdf</t>
        </is>
      </c>
      <c r="C9" s="2" t="n">
        <v>2013</v>
      </c>
      <c r="D9" s="2" t="inlineStr">
        <is>
          <t>Refondre le cadre de décentralisation en définissant les compétences des départements et communes (collectivités territoriales), incluant la propreté municipale, la gestion des déchets ménagers, l'hygiène et la salubrité publique — cadre subnational clé pour les déchets solides, dont les plastiques, sans mesures spécifiques aux matières plastiques. / Refound the decentralisation framework by defining competences of departments and communes (local authorities), including municipal cleanliness, household waste management, hygiene and public health — key subnational framework for solid waste, including plastics, without plastic-specific measures.</t>
        </is>
      </c>
      <c r="E9" s="2" t="n">
        <v>0.75</v>
      </c>
      <c r="F9" s="2" t="inlineStr">
        <is>
          <t>Commune competence: 'la gestion des déchets et la lutte contre l insalubrité' / 'waste management and the fight against insalubrity'; municipal police: 'nettoiement' / 'cleaning', 'salubrité publics' / 'public health/salubrity'; communal taxes: 'taxe d enlèvement des ordures ménagères' / 'household waste collection tax', 'taxe de balayage' / 'street-sweeping tax'.</t>
        </is>
      </c>
      <c r="G9" s="2" t="n">
        <v>1</v>
      </c>
      <c r="H9" s="2" t="inlineStr">
        <is>
          <t>Code général adopté par l'Assemblée nationale le 19 décembre 2013 (procédure d'urgence) et promulgué le 28 décembre 2013 en tant que Loi n° 2013-10. Il s'agit d'une loi parlementaire (Code), et non d'un texte réglementaire d'application exécutive (≠0.75). / General Code adopted by the National Assembly on 19 December 2013 (urgency procedure) and promulgated on 28 December 2013 as Law No. 2013-10. It is parliamentary legislation (Code), not executive implementing regulation (≠0.75).</t>
        </is>
      </c>
      <c r="I9" s="2" t="n">
        <v>1</v>
      </c>
      <c r="J9" s="2" t="inlineStr">
        <is>
          <t>collectivités territoriales, assainissement, environnement, gouvernance locale, finances publiques locales / local government, sanitation, environment, local governance, local public finance</t>
        </is>
      </c>
      <c r="K9" s="2" t="n">
        <v>0.75</v>
      </c>
      <c r="L9" s="2" t="inlineStr">
        <is>
          <t>collecte, élimination, gouvernance / collection, disposal, governance</t>
        </is>
      </c>
      <c r="M9" s="2" t="n">
        <v>0.5</v>
      </c>
      <c r="N9" s="2" t="inlineStr">
        <is>
          <t>Art. 195: 'taxe d enlèvement des ordures ménagères' / 'household waste collection tax', 'taxe de balayage' / 'street-sweeping tax'; Art. 202: 'dépenses d entretien et néttoiement des rues' / 'expenditure on maintenance and cleaning of streets' and 'dépenses des services locaux de désinfection et d hygiène' / 'expenditure on local disinfection and hygiene services' are obligatory commune operating expenses.</t>
        </is>
      </c>
      <c r="O9" s="3">
        <f>AVERAGE(G9,I9,K9,M9,P9)</f>
        <v/>
      </c>
      <c r="P9" s="2" t="n">
        <v>0.75</v>
      </c>
      <c r="Q9" s="2" t="inlineStr">
        <is>
          <t>Disposal</t>
        </is>
      </c>
      <c r="R9" s="2" t="inlineStr">
        <is>
          <t>Art. 307 (commune, santé): 'la mise en œuvre des mesures de prévention et d hygiène' / 'implementation of prevention and hygiene measures' among commune health competences.</t>
        </is>
      </c>
      <c r="S9" s="2" t="n">
        <v>1</v>
      </c>
      <c r="T9" s="2" t="n">
        <v>0.5</v>
      </c>
      <c r="U9" s="2" t="inlineStr">
        <is>
          <t>Complements Art. 205 waste/insalubrity competence and Art. 119 municipal police salubrity missions.</t>
        </is>
      </c>
      <c r="V9" s="3">
        <f>AVERAGE(P9,T9)</f>
        <v/>
      </c>
      <c r="W9" s="2" t="inlineStr">
        <is>
          <t>Hygiène communale liée à la salubrité publique et aux déchets. / Communal hygiene linked to public salubrity and waste.</t>
        </is>
      </c>
    </row>
    <row r="10">
      <c r="A10" s="2" t="inlineStr">
        <is>
          <t>Loi n° 2013-10 du 28 décembre 2013 portant Code Général des Collectivités Territoriales (CGCT) / Law No. 2013-10 of 28 December 2013 establishing the General Code of Local Authorities (CGCT)</t>
        </is>
      </c>
      <c r="B10" s="2" t="inlineStr">
        <is>
          <t>https://www.dri.gouv.sn/sites/default/files/an-documents/LOI%20N%202013%2010%20DU%2028%20DECEMBRE%202013.pdf</t>
        </is>
      </c>
      <c r="C10" s="2" t="n">
        <v>2013</v>
      </c>
      <c r="D10" s="2" t="inlineStr">
        <is>
          <t>Refondre le cadre de décentralisation en définissant les compétences des départements et communes (collectivités territoriales), incluant la propreté municipale, la gestion des déchets ménagers, l'hygiène et la salubrité publique — cadre subnational clé pour les déchets solides, dont les plastiques, sans mesures spécifiques aux matières plastiques. / Refound the decentralisation framework by defining competences of departments and communes (local authorities), including municipal cleanliness, household waste management, hygiene and public health — key subnational framework for solid waste, including plastics, without plastic-specific measures.</t>
        </is>
      </c>
      <c r="E10" s="2" t="n">
        <v>0.75</v>
      </c>
      <c r="F10" s="2" t="inlineStr">
        <is>
          <t>Commune competence: 'la gestion des déchets et la lutte contre l insalubrité' / 'waste management and the fight against insalubrity'; municipal police: 'nettoiement' / 'cleaning', 'salubrité publics' / 'public health/salubrity'; communal taxes: 'taxe d enlèvement des ordures ménagères' / 'household waste collection tax', 'taxe de balayage' / 'street-sweeping tax'.</t>
        </is>
      </c>
      <c r="G10" s="2" t="n">
        <v>1</v>
      </c>
      <c r="H10" s="2" t="inlineStr">
        <is>
          <t>Code général adopté par l'Assemblée nationale le 19 décembre 2013 (procédure d'urgence) et promulgué le 28 décembre 2013 en tant que Loi n° 2013-10. Il s'agit d'une loi parlementaire (Code), et non d'un texte réglementaire d'application exécutive (≠0.75). / General Code adopted by the National Assembly on 19 December 2013 (urgency procedure) and promulgated on 28 December 2013 as Law No. 2013-10. It is parliamentary legislation (Code), not executive implementing regulation (≠0.75).</t>
        </is>
      </c>
      <c r="I10" s="2" t="n">
        <v>1</v>
      </c>
      <c r="J10" s="2" t="inlineStr">
        <is>
          <t>collectivités territoriales, assainissement, environnement, gouvernance locale, finances publiques locales / local government, sanitation, environment, local governance, local public finance</t>
        </is>
      </c>
      <c r="K10" s="2" t="n">
        <v>0.75</v>
      </c>
      <c r="L10" s="2" t="inlineStr">
        <is>
          <t>collecte, élimination, gouvernance / collection, disposal, governance</t>
        </is>
      </c>
      <c r="M10" s="2" t="n">
        <v>0.5</v>
      </c>
      <c r="N10" s="2" t="inlineStr">
        <is>
          <t>Art. 195: 'taxe d enlèvement des ordures ménagères' / 'household waste collection tax', 'taxe de balayage' / 'street-sweeping tax'; Art. 202: 'dépenses d entretien et néttoiement des rues' / 'expenditure on maintenance and cleaning of streets' and 'dépenses des services locaux de désinfection et d hygiène' / 'expenditure on local disinfection and hygiene services' are obligatory commune operating expenses.</t>
        </is>
      </c>
      <c r="O10" s="3">
        <f>AVERAGE(G10,I10,K10,M10,P10)</f>
        <v/>
      </c>
      <c r="P10" s="2" t="n">
        <v>0.6</v>
      </c>
      <c r="Q10" s="2" t="inlineStr">
        <is>
          <t>Collection</t>
        </is>
      </c>
      <c r="R10" s="2" t="inlineStr">
        <is>
          <t>Art. 195 (5): commune direct local taxes include 'taxe d enlèvement des ordures ménagères' / 'household waste collection tax' and 'taxe de balayage' / 'street-sweeping tax'.</t>
        </is>
      </c>
      <c r="S10" s="2" t="n">
        <v>1</v>
      </c>
      <c r="T10" s="2" t="n">
        <v>0.75</v>
      </c>
      <c r="U10" s="2" t="inlineStr">
        <is>
          <t>Assessment and collection modalities set by law; centimes additionnels may be created by municipal council deliberation within legal maxima.</t>
        </is>
      </c>
      <c r="V10" s="3">
        <f>AVERAGE(P10,T10)</f>
        <v/>
      </c>
      <c r="W10" s="2" t="inlineStr">
        <is>
          <t>Instrument fiscal local finançant la collecte des ordures ménagères (incluant fractions plastiques). / Local fiscal instrument financing household waste collection (including plastic fractions).</t>
        </is>
      </c>
    </row>
    <row r="11">
      <c r="A11" s="2" t="inlineStr">
        <is>
          <t>Loi n° 2013-10 du 28 décembre 2013 portant Code Général des Collectivités Territoriales (CGCT) / Law No. 2013-10 of 28 December 2013 establishing the General Code of Local Authorities (CGCT)</t>
        </is>
      </c>
      <c r="B11" s="2" t="inlineStr">
        <is>
          <t>https://www.dri.gouv.sn/sites/default/files/an-documents/LOI%20N%202013%2010%20DU%2028%20DECEMBRE%202013.pdf</t>
        </is>
      </c>
      <c r="C11" s="2" t="n">
        <v>2013</v>
      </c>
      <c r="D11" s="2" t="inlineStr">
        <is>
          <t>Refondre le cadre de décentralisation en définissant les compétences des départements et communes (collectivités territoriales), incluant la propreté municipale, la gestion des déchets ménagers, l'hygiène et la salubrité publique — cadre subnational clé pour les déchets solides, dont les plastiques, sans mesures spécifiques aux matières plastiques. / Refound the decentralisation framework by defining competences of departments and communes (local authorities), including municipal cleanliness, household waste management, hygiene and public health — key subnational framework for solid waste, including plastics, without plastic-specific measures.</t>
        </is>
      </c>
      <c r="E11" s="2" t="n">
        <v>0.75</v>
      </c>
      <c r="F11" s="2" t="inlineStr">
        <is>
          <t>Commune competence: 'la gestion des déchets et la lutte contre l insalubrité' / 'waste management and the fight against insalubrity'; municipal police: 'nettoiement' / 'cleaning', 'salubrité publics' / 'public health/salubrity'; communal taxes: 'taxe d enlèvement des ordures ménagères' / 'household waste collection tax', 'taxe de balayage' / 'street-sweeping tax'.</t>
        </is>
      </c>
      <c r="G11" s="2" t="n">
        <v>1</v>
      </c>
      <c r="H11" s="2" t="inlineStr">
        <is>
          <t>Code général adopté par l'Assemblée nationale le 19 décembre 2013 (procédure d'urgence) et promulgué le 28 décembre 2013 en tant que Loi n° 2013-10. Il s'agit d'une loi parlementaire (Code), et non d'un texte réglementaire d'application exécutive (≠0.75). / General Code adopted by the National Assembly on 19 December 2013 (urgency procedure) and promulgated on 28 December 2013 as Law No. 2013-10. It is parliamentary legislation (Code), not executive implementing regulation (≠0.75).</t>
        </is>
      </c>
      <c r="I11" s="2" t="n">
        <v>1</v>
      </c>
      <c r="J11" s="2" t="inlineStr">
        <is>
          <t>collectivités territoriales, assainissement, environnement, gouvernance locale, finances publiques locales / local government, sanitation, environment, local governance, local public finance</t>
        </is>
      </c>
      <c r="K11" s="2" t="n">
        <v>0.75</v>
      </c>
      <c r="L11" s="2" t="inlineStr">
        <is>
          <t>collecte, élimination, gouvernance / collection, disposal, governance</t>
        </is>
      </c>
      <c r="M11" s="2" t="n">
        <v>0.5</v>
      </c>
      <c r="N11" s="2" t="inlineStr">
        <is>
          <t>Art. 195: 'taxe d enlèvement des ordures ménagères' / 'household waste collection tax', 'taxe de balayage' / 'street-sweeping tax'; Art. 202: 'dépenses d entretien et néttoiement des rues' / 'expenditure on maintenance and cleaning of streets' and 'dépenses des services locaux de désinfection et d hygiène' / 'expenditure on local disinfection and hygiene services' are obligatory commune operating expenses.</t>
        </is>
      </c>
      <c r="O11" s="3">
        <f>AVERAGE(G11,I11,K11,M11,P11)</f>
        <v/>
      </c>
      <c r="P11" s="2" t="n">
        <v>0.75</v>
      </c>
      <c r="Q11" s="2" t="inlineStr">
        <is>
          <t>Collection</t>
        </is>
      </c>
      <c r="R11" s="2" t="inlineStr">
        <is>
          <t>Art. 202 (11): obligatory commune operating expenditure on 'les dépenses d entretien et néttoiement des rues, chemins de voirie et places publiques situés sur le territoire de la collectivité locale' / 'maintenance and cleaning of streets, roads and public squares on local authority territory'.</t>
        </is>
      </c>
      <c r="S11" s="2" t="n">
        <v>1</v>
      </c>
      <c r="T11" s="2" t="n">
        <v>0.75</v>
      </c>
      <c r="U11" s="2" t="inlineStr">
        <is>
          <t>Art. 201–202: obligatory operating expenses must appear in budget; Art. 202 lists 18 mandatory expenditure categories.</t>
        </is>
      </c>
      <c r="V11" s="3">
        <f>AVERAGE(P11,T11)</f>
        <v/>
      </c>
      <c r="W11" s="2" t="inlineStr">
        <is>
          <t>Obligation budgétaire de nettoyage des voies publiques — enlèvement des déchets abandonnés incluant plastiques. / Budgetary obligation to clean public roads — removal of litter including plastics.</t>
        </is>
      </c>
    </row>
    <row r="12">
      <c r="A12" s="2" t="inlineStr">
        <is>
          <t>Loi n° 2013-10 du 28 décembre 2013 portant Code Général des Collectivités Territoriales (CGCT) / Law No. 2013-10 of 28 December 2013 establishing the General Code of Local Authorities (CGCT)</t>
        </is>
      </c>
      <c r="B12" s="2" t="inlineStr">
        <is>
          <t>https://www.dri.gouv.sn/sites/default/files/an-documents/LOI%20N%202013%2010%20DU%2028%20DECEMBRE%202013.pdf</t>
        </is>
      </c>
      <c r="C12" s="2" t="n">
        <v>2013</v>
      </c>
      <c r="D12" s="2" t="inlineStr">
        <is>
          <t>Refondre le cadre de décentralisation en définissant les compétences des départements et communes (collectivités territoriales), incluant la propreté municipale, la gestion des déchets ménagers, l'hygiène et la salubrité publique — cadre subnational clé pour les déchets solides, dont les plastiques, sans mesures spécifiques aux matières plastiques. / Refound the decentralisation framework by defining competences of departments and communes (local authorities), including municipal cleanliness, household waste management, hygiene and public health — key subnational framework for solid waste, including plastics, without plastic-specific measures.</t>
        </is>
      </c>
      <c r="E12" s="2" t="n">
        <v>0.75</v>
      </c>
      <c r="F12" s="2" t="inlineStr">
        <is>
          <t>Commune competence: 'la gestion des déchets et la lutte contre l insalubrité' / 'waste management and the fight against insalubrity'; municipal police: 'nettoiement' / 'cleaning', 'salubrité publics' / 'public health/salubrity'; communal taxes: 'taxe d enlèvement des ordures ménagères' / 'household waste collection tax', 'taxe de balayage' / 'street-sweeping tax'.</t>
        </is>
      </c>
      <c r="G12" s="2" t="n">
        <v>1</v>
      </c>
      <c r="H12" s="2" t="inlineStr">
        <is>
          <t>Code général adopté par l'Assemblée nationale le 19 décembre 2013 (procédure d'urgence) et promulgué le 28 décembre 2013 en tant que Loi n° 2013-10. Il s'agit d'une loi parlementaire (Code), et non d'un texte réglementaire d'application exécutive (≠0.75). / General Code adopted by the National Assembly on 19 December 2013 (urgency procedure) and promulgated on 28 December 2013 as Law No. 2013-10. It is parliamentary legislation (Code), not executive implementing regulation (≠0.75).</t>
        </is>
      </c>
      <c r="I12" s="2" t="n">
        <v>1</v>
      </c>
      <c r="J12" s="2" t="inlineStr">
        <is>
          <t>collectivités territoriales, assainissement, environnement, gouvernance locale, finances publiques locales / local government, sanitation, environment, local governance, local public finance</t>
        </is>
      </c>
      <c r="K12" s="2" t="n">
        <v>0.75</v>
      </c>
      <c r="L12" s="2" t="inlineStr">
        <is>
          <t>collecte, élimination, gouvernance / collection, disposal, governance</t>
        </is>
      </c>
      <c r="M12" s="2" t="n">
        <v>0.5</v>
      </c>
      <c r="N12" s="2" t="inlineStr">
        <is>
          <t>Art. 195: 'taxe d enlèvement des ordures ménagères' / 'household waste collection tax', 'taxe de balayage' / 'street-sweeping tax'; Art. 202: 'dépenses d entretien et néttoiement des rues' / 'expenditure on maintenance and cleaning of streets' and 'dépenses des services locaux de désinfection et d hygiène' / 'expenditure on local disinfection and hygiene services' are obligatory commune operating expenses.</t>
        </is>
      </c>
      <c r="O12" s="3">
        <f>AVERAGE(G12,I12,K12,M12,P12)</f>
        <v/>
      </c>
      <c r="P12" s="2" t="n">
        <v>0.75</v>
      </c>
      <c r="Q12" s="2" t="inlineStr">
        <is>
          <t>Disposal</t>
        </is>
      </c>
      <c r="R12" s="2" t="inlineStr">
        <is>
          <t>Art. 202 (14): obligatory expenditure on 'Les dépenses des services locaux de désinfection et d hygiène dans les conditions déterminées par la réglementation en vigueur' / 'expenditure on local disinfection and hygiene services under applicable regulations'.</t>
        </is>
      </c>
      <c r="S12" s="2" t="n">
        <v>1</v>
      </c>
      <c r="T12" s="2" t="n">
        <v>0.5</v>
      </c>
      <c r="U12" s="2" t="inlineStr">
        <is>
          <t>Linked to Art. 126 sworn hygiene agents and Art. 307 commune prevention/hygiene measures.</t>
        </is>
      </c>
      <c r="V12" s="3">
        <f>AVERAGE(P12,T12)</f>
        <v/>
      </c>
      <c r="W12" s="2" t="inlineStr">
        <is>
          <t>Financement obligatoire des services d'hygiène locale. / Mandatory funding of local hygiene services.</t>
        </is>
      </c>
    </row>
    <row r="13">
      <c r="A13" s="2" t="inlineStr">
        <is>
          <t>Loi n° 2013-10 du 28 décembre 2013 portant Code Général des Collectivités Territoriales (CGCT) / Law No. 2013-10 of 28 December 2013 establishing the General Code of Local Authorities (CGCT)</t>
        </is>
      </c>
      <c r="B13" s="2" t="inlineStr">
        <is>
          <t>https://www.dri.gouv.sn/sites/default/files/an-documents/LOI%20N%202013%2010%20DU%2028%20DECEMBRE%202013.pdf</t>
        </is>
      </c>
      <c r="C13" s="2" t="n">
        <v>2013</v>
      </c>
      <c r="D13" s="2" t="inlineStr">
        <is>
          <t>Refondre le cadre de décentralisation en définissant les compétences des départements et communes (collectivités territoriales), incluant la propreté municipale, la gestion des déchets ménagers, l'hygiène et la salubrité publique — cadre subnational clé pour les déchets solides, dont les plastiques, sans mesures spécifiques aux matières plastiques. / Refound the decentralisation framework by defining competences of departments and communes (local authorities), including municipal cleanliness, household waste management, hygiene and public health — key subnational framework for solid waste, including plastics, without plastic-specific measures.</t>
        </is>
      </c>
      <c r="E13" s="2" t="n">
        <v>0.75</v>
      </c>
      <c r="F13" s="2" t="inlineStr">
        <is>
          <t>Commune competence: 'la gestion des déchets et la lutte contre l insalubrité' / 'waste management and the fight against insalubrity'; municipal police: 'nettoiement' / 'cleaning', 'salubrité publics' / 'public health/salubrity'; communal taxes: 'taxe d enlèvement des ordures ménagères' / 'household waste collection tax', 'taxe de balayage' / 'street-sweeping tax'.</t>
        </is>
      </c>
      <c r="G13" s="2" t="n">
        <v>1</v>
      </c>
      <c r="H13" s="2" t="inlineStr">
        <is>
          <t>Code général adopté par l'Assemblée nationale le 19 décembre 2013 (procédure d'urgence) et promulgué le 28 décembre 2013 en tant que Loi n° 2013-10. Il s'agit d'une loi parlementaire (Code), et non d'un texte réglementaire d'application exécutive (≠0.75). / General Code adopted by the National Assembly on 19 December 2013 (urgency procedure) and promulgated on 28 December 2013 as Law No. 2013-10. It is parliamentary legislation (Code), not executive implementing regulation (≠0.75).</t>
        </is>
      </c>
      <c r="I13" s="2" t="n">
        <v>1</v>
      </c>
      <c r="J13" s="2" t="inlineStr">
        <is>
          <t>collectivités territoriales, assainissement, environnement, gouvernance locale, finances publiques locales / local government, sanitation, environment, local governance, local public finance</t>
        </is>
      </c>
      <c r="K13" s="2" t="n">
        <v>0.75</v>
      </c>
      <c r="L13" s="2" t="inlineStr">
        <is>
          <t>collecte, élimination, gouvernance / collection, disposal, governance</t>
        </is>
      </c>
      <c r="M13" s="2" t="n">
        <v>0.5</v>
      </c>
      <c r="N13" s="2" t="inlineStr">
        <is>
          <t>Art. 195: 'taxe d enlèvement des ordures ménagères' / 'household waste collection tax', 'taxe de balayage' / 'street-sweeping tax'; Art. 202: 'dépenses d entretien et néttoiement des rues' / 'expenditure on maintenance and cleaning of streets' and 'dépenses des services locaux de désinfection et d hygiène' / 'expenditure on local disinfection and hygiene services' are obligatory commune operating expenses.</t>
        </is>
      </c>
      <c r="O13" s="3">
        <f>AVERAGE(G13,I13,K13,M13,P13)</f>
        <v/>
      </c>
      <c r="P13" s="2" t="n">
        <v>0.75</v>
      </c>
      <c r="Q13" s="2" t="inlineStr">
        <is>
          <t>Governance</t>
        </is>
      </c>
      <c r="R13" s="2" t="inlineStr">
        <is>
          <t>Art. 204 (Livre IV, département, environnement): department receives competences including 'l élaboration et mise en œuvre de plans départementaux d actions de l environnement' / 'development and implementation of departmental environmental action plans' and 'l élaboration et mise en œuvre des plans d action locale pour l environnement' / 'development and implementation of local environmental action plans'.</t>
        </is>
      </c>
      <c r="S13" s="2" t="n">
        <v>1</v>
      </c>
      <c r="T13" s="2" t="n">
        <v>0.5</v>
      </c>
      <c r="U13" s="2" t="inlineStr">
        <is>
          <t>Department-level environmental planning complements commune waste management (Art. 205) and commune environmental action plans.</t>
        </is>
      </c>
      <c r="V13" s="3">
        <f>AVERAGE(P13,T13)</f>
        <v/>
      </c>
      <c r="W13" s="2" t="inlineStr">
        <is>
          <t>Planification environnementale départementale encadrant les politiques locales de déchets. / Departmental environmental planning framing local waste policies.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2026-07-21T13:26:35Z</dcterms:created>
  <dcterms:modified xmlns:dcterms="http://purl.org/dc/terms/" xmlns:xsi="http://www.w3.org/2001/XMLSchema-instance" xsi:type="dcterms:W3CDTF">2026-07-21T13:26:35Z</dcterms:modified>
</cp:coreProperties>
</file>