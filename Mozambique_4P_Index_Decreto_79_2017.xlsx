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4P Index" sheetId="1" state="visible" r:id="rId1"/>
    <sheet xmlns:r="http://schemas.openxmlformats.org/officeDocument/2006/relationships" name="Metadata"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9"/>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2"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9"/>
  <sheetViews>
    <sheetView workbookViewId="0">
      <selection activeCell="A1" sqref="A1"/>
    </sheetView>
  </sheetViews>
  <sheetFormatPr baseColWidth="8" defaultRowHeight="15"/>
  <cols>
    <col width="48" customWidth="1" min="1" max="1"/>
    <col width="22" customWidth="1" min="2" max="2"/>
    <col width="8" customWidth="1" min="3" max="3"/>
    <col width="45" customWidth="1" min="4" max="4"/>
    <col width="8" customWidth="1" min="5" max="5"/>
    <col width="12" customWidth="1" min="6" max="6"/>
    <col width="8" customWidth="1" min="7" max="7"/>
    <col width="35" customWidth="1" min="8" max="8"/>
    <col width="8" customWidth="1" min="9" max="9"/>
    <col width="35" customWidth="1" min="10" max="10"/>
    <col width="8" customWidth="1" min="11" max="11"/>
    <col width="28" customWidth="1" min="12" max="12"/>
    <col width="8" customWidth="1" min="13" max="13"/>
    <col width="40" customWidth="1" min="14" max="14"/>
    <col width="10" customWidth="1" min="15" max="15"/>
    <col width="8" customWidth="1" min="16" max="16"/>
    <col width="20" customWidth="1" min="17" max="17"/>
    <col width="50" customWidth="1" min="18" max="18"/>
    <col width="8" customWidth="1" min="19" max="19"/>
    <col width="8" customWidth="1" min="20" max="20"/>
    <col width="40" customWidth="1" min="21" max="21"/>
    <col width="10" customWidth="1" min="22" max="22"/>
    <col width="40" customWidth="1" min="23" max="23"/>
  </cols>
  <sheetData>
    <row r="1">
      <c r="A1" s="1" t="inlineStr">
        <is>
          <t>A_policy_name</t>
        </is>
      </c>
      <c r="B1" s="1" t="inlineStr">
        <is>
          <t>B_policy_url</t>
        </is>
      </c>
      <c r="C1" s="1" t="inlineStr">
        <is>
          <t>C_policy_year</t>
        </is>
      </c>
      <c r="D1" s="1" t="inlineStr">
        <is>
          <t>D_policy_objective</t>
        </is>
      </c>
      <c r="E1" s="1" t="inlineStr">
        <is>
          <t>E_policy_target</t>
        </is>
      </c>
      <c r="F1" s="1" t="inlineStr">
        <is>
          <t>F_policy_target_text</t>
        </is>
      </c>
      <c r="G1" s="1" t="inlineStr">
        <is>
          <t>G_policy_type</t>
        </is>
      </c>
      <c r="H1" s="1" t="inlineStr">
        <is>
          <t>H_policy_type_justification</t>
        </is>
      </c>
      <c r="I1" s="1" t="inlineStr">
        <is>
          <t>I_policy_integration</t>
        </is>
      </c>
      <c r="J1" s="1" t="inlineStr">
        <is>
          <t>J_policy_sectors_list</t>
        </is>
      </c>
      <c r="K1" s="1" t="inlineStr">
        <is>
          <t>K_policy_circularity</t>
        </is>
      </c>
      <c r="L1" s="1" t="inlineStr">
        <is>
          <t>L_policy_lifecycle_phases_list</t>
        </is>
      </c>
      <c r="M1" s="1" t="inlineStr">
        <is>
          <t>M_policy_budget</t>
        </is>
      </c>
      <c r="N1" s="1" t="inlineStr">
        <is>
          <t>N_policy_budget_text</t>
        </is>
      </c>
      <c r="O1" s="1" t="inlineStr">
        <is>
          <t>O_policy_score</t>
        </is>
      </c>
      <c r="P1" s="1" t="inlineStr">
        <is>
          <t>P_instrument_type</t>
        </is>
      </c>
      <c r="Q1" s="1" t="inlineStr">
        <is>
          <t>Q_instrument_lifecycle_stage</t>
        </is>
      </c>
      <c r="R1" s="1" t="inlineStr">
        <is>
          <t>R_instrument_description</t>
        </is>
      </c>
      <c r="S1" s="1" t="inlineStr">
        <is>
          <t>S_instrument_in_force</t>
        </is>
      </c>
      <c r="T1" s="1" t="inlineStr">
        <is>
          <t>T_instrument_implementation</t>
        </is>
      </c>
      <c r="U1" s="1" t="inlineStr">
        <is>
          <t>U_instrument_implementation_text</t>
        </is>
      </c>
      <c r="V1" s="1" t="inlineStr">
        <is>
          <t>V_instrument_score</t>
        </is>
      </c>
      <c r="W1" s="1" t="inlineStr">
        <is>
          <t>W_comments</t>
        </is>
      </c>
    </row>
    <row r="2">
      <c r="A2" s="2" t="inlineStr">
        <is>
          <t>Regulamento sobre a Responsabilidade Alargada dos Produtores e Importadores de Embalagens (Decreto n.º 79/2017, de 28 de Dezembro)</t>
        </is>
      </c>
      <c r="B2" s="2" t="inlineStr">
        <is>
          <t>https://www.lexology.com/library/detail.aspx?g=bc88751e-ed7d-4f3f-972c-158b0f8fbbdf</t>
        </is>
      </c>
      <c r="C2" s="2" t="n">
        <v>2017</v>
      </c>
      <c r="D2" s="2" t="inlineStr">
        <is>
          <t>Adopt principles, norms and guidelines assigning extended responsibility to producers and importers of packaging and packaging waste to protect public health and the environment within sustainable development, through internal management systems, the Packaging Environmental Fee (TAE), and packaging normalisation.</t>
        </is>
      </c>
      <c r="E2" s="2" t="n">
        <v>0</v>
      </c>
      <c r="F2" s="2" t="inlineStr"/>
      <c r="G2" s="3" t="n">
        <v>0.75</v>
      </c>
      <c r="H2" s="2" t="inlineStr">
        <is>
          <t>Executive decree (Decreto n.º 79/2017) approved by the Council of Ministers on 21 November 2017 and published 28 December 2017 (Boletim da República), under Lei 20/97 Arts. 10 and 33. Sub-legislative EPR instrument, not parliamentary legislation.</t>
        </is>
      </c>
      <c r="I2" s="3" t="n">
        <v>0.75</v>
      </c>
      <c r="J2" s="2" t="inlineStr">
        <is>
          <t>packaging, plastics, industry, retail, import, municipalities, waste management, recycling, chemicals, finance</t>
        </is>
      </c>
      <c r="K2" s="3" t="n">
        <v>0.75</v>
      </c>
      <c r="L2" s="2" t="inlineStr">
        <is>
          <t>production, consumption, recycling, disposal</t>
        </is>
      </c>
      <c r="M2" s="3" t="n">
        <v>1</v>
      </c>
      <c r="N2" s="2" t="inlineStr">
        <is>
          <t>Art. 24: TAE revenues allocated 60% State Budget / 40% FNDS; fine revenues 40% State / 60% FNDS, ring-fenced for integrated waste management, selective collection, recycling, valorisation, environmental education and institutional strengthening. COMAGE operating costs borne by FNDS (Art. 23(5)).</t>
        </is>
      </c>
      <c r="O2" s="3">
        <f>AVERAGE(G2,I2,K2,M2,P2)</f>
        <v/>
      </c>
      <c r="P2" s="3" t="n">
        <v>1</v>
      </c>
      <c r="Q2" s="2" t="inlineStr">
        <is>
          <t>Waste management</t>
        </is>
      </c>
      <c r="R2" s="2" t="inlineStr">
        <is>
          <t>Art. 4(f): Waste hierarchy principle — management must follow priority order: prevention and reduction, reuse, recycling, other recovery, then disposal; using best available economically sustainable technologies to prolong material life cycles.</t>
        </is>
      </c>
      <c r="S2" s="3" t="n">
        <v>1</v>
      </c>
      <c r="T2" s="3" t="n">
        <v>0.5</v>
      </c>
      <c r="U2" s="2" t="inlineStr">
        <is>
          <t>'a gestão de resíduos sólidos urbanos deve respeitar a seguinte ordem de prioridades — prevenção e redução, reutilização, reciclagem, outras formas de valorização e eliminação.' Binding hierarchy in Regulation (+0.25). MTA monitors compliance (Art. 5). Limited evidence of systematic hierarchy application for plastic packaging (IUCN 2022: ~1% packaging recycled).</t>
        </is>
      </c>
      <c r="V2" s="3">
        <f>AVERAGE(P2,T2)</f>
        <v/>
      </c>
      <c r="W2" s="2" t="inlineStr">
        <is>
          <t>Plastics relevance: Annex I typology includes all plastic types including polystyrene foam. Lexology/VdA analysis confirms hierarchy as core EPR design element.</t>
        </is>
      </c>
    </row>
    <row r="3">
      <c r="A3" s="2" t="inlineStr">
        <is>
          <t>Regulamento sobre a Responsabilidade Alargada dos Produtores e Importadores de Embalagens (Decreto n.º 79/2017, de 28 de Dezembro)</t>
        </is>
      </c>
      <c r="B3" s="2" t="inlineStr">
        <is>
          <t>https://www.lexology.com/library/detail.aspx?g=bc88751e-ed7d-4f3f-972c-158b0f8fbbdf</t>
        </is>
      </c>
      <c r="C3" s="2" t="n">
        <v>2017</v>
      </c>
      <c r="D3" s="2" t="inlineStr">
        <is>
          <t>Adopt principles, norms and guidelines assigning extended responsibility to producers and importers of packaging and packaging waste to protect public health and the environment within sustainable development, through internal management systems, the Packaging Environmental Fee (TAE), and packaging normalisation.</t>
        </is>
      </c>
      <c r="E3" s="2" t="n">
        <v>0</v>
      </c>
      <c r="F3" s="2" t="inlineStr"/>
      <c r="G3" s="3" t="n">
        <v>0.75</v>
      </c>
      <c r="H3" s="2" t="inlineStr">
        <is>
          <t>Executive decree (Decreto n.º 79/2017) approved by the Council of Ministers on 21 November 2017 and published 28 December 2017 (Boletim da República), under Lei 20/97 Arts. 10 and 33. Sub-legislative EPR instrument, not parliamentary legislation.</t>
        </is>
      </c>
      <c r="I3" s="3" t="n">
        <v>0.75</v>
      </c>
      <c r="J3" s="2" t="inlineStr">
        <is>
          <t>packaging, plastics, industry, retail, import, municipalities, waste management, recycling, chemicals, finance</t>
        </is>
      </c>
      <c r="K3" s="3" t="n">
        <v>0.75</v>
      </c>
      <c r="L3" s="2" t="inlineStr">
        <is>
          <t>production, consumption, recycling, disposal</t>
        </is>
      </c>
      <c r="M3" s="3" t="n">
        <v>1</v>
      </c>
      <c r="N3" s="2" t="inlineStr">
        <is>
          <t>Art. 24: TAE revenues allocated 60% State Budget / 40% FNDS; fine revenues 40% State / 60% FNDS, ring-fenced for integrated waste management, selective collection, recycling, valorisation, environmental education and institutional strengthening. COMAGE operating costs borne by FNDS (Art. 23(5)).</t>
        </is>
      </c>
      <c r="O3" s="3">
        <f>AVERAGE(G3,I3,K3,M3,P3)</f>
        <v/>
      </c>
      <c r="P3" s="3" t="n">
        <v>1</v>
      </c>
      <c r="Q3" s="2" t="inlineStr">
        <is>
          <t>Production</t>
        </is>
      </c>
      <c r="R3" s="2" t="inlineStr">
        <is>
          <t>Art. 4(d): Prevention and eco-design principle — all actors in the packaging life cycle must adopt ecological design and sustainable consumption practices appropriate to legal and technical norms.</t>
        </is>
      </c>
      <c r="S3" s="3" t="n">
        <v>1</v>
      </c>
      <c r="T3" s="3" t="n">
        <v>0.25</v>
      </c>
      <c r="U3" s="2" t="inlineStr">
        <is>
          <t>'adoptando as práticas de desenho ecológico e de consumo sustentável mais adequadas.' Principle stated (+0.25 authority via Art. 5 MTA). No quantified eco-design targets or specific enforcement beyond Art. 17 normalisation.</t>
        </is>
      </c>
      <c r="V3" s="3">
        <f>AVERAGE(P3,T3)</f>
        <v/>
      </c>
      <c r="W3" s="2" t="inlineStr">
        <is>
          <t>Regulatory principle instrument; complements Art. 17 material standards.</t>
        </is>
      </c>
    </row>
    <row r="4">
      <c r="A4" s="2" t="inlineStr">
        <is>
          <t>Regulamento sobre a Responsabilidade Alargada dos Produtores e Importadores de Embalagens (Decreto n.º 79/2017, de 28 de Dezembro)</t>
        </is>
      </c>
      <c r="B4" s="2" t="inlineStr">
        <is>
          <t>https://www.lexology.com/library/detail.aspx?g=bc88751e-ed7d-4f3f-972c-158b0f8fbbdf</t>
        </is>
      </c>
      <c r="C4" s="2" t="n">
        <v>2017</v>
      </c>
      <c r="D4" s="2" t="inlineStr">
        <is>
          <t>Adopt principles, norms and guidelines assigning extended responsibility to producers and importers of packaging and packaging waste to protect public health and the environment within sustainable development, through internal management systems, the Packaging Environmental Fee (TAE), and packaging normalisation.</t>
        </is>
      </c>
      <c r="E4" s="2" t="n">
        <v>0</v>
      </c>
      <c r="F4" s="2" t="inlineStr"/>
      <c r="G4" s="3" t="n">
        <v>0.75</v>
      </c>
      <c r="H4" s="2" t="inlineStr">
        <is>
          <t>Executive decree (Decreto n.º 79/2017) approved by the Council of Ministers on 21 November 2017 and published 28 December 2017 (Boletim da República), under Lei 20/97 Arts. 10 and 33. Sub-legislative EPR instrument, not parliamentary legislation.</t>
        </is>
      </c>
      <c r="I4" s="3" t="n">
        <v>0.75</v>
      </c>
      <c r="J4" s="2" t="inlineStr">
        <is>
          <t>packaging, plastics, industry, retail, import, municipalities, waste management, recycling, chemicals, finance</t>
        </is>
      </c>
      <c r="K4" s="3" t="n">
        <v>0.75</v>
      </c>
      <c r="L4" s="2" t="inlineStr">
        <is>
          <t>production, consumption, recycling, disposal</t>
        </is>
      </c>
      <c r="M4" s="3" t="n">
        <v>1</v>
      </c>
      <c r="N4" s="2" t="inlineStr">
        <is>
          <t>Art. 24: TAE revenues allocated 60% State Budget / 40% FNDS; fine revenues 40% State / 60% FNDS, ring-fenced for integrated waste management, selective collection, recycling, valorisation, environmental education and institutional strengthening. COMAGE operating costs borne by FNDS (Art. 23(5)).</t>
        </is>
      </c>
      <c r="O4" s="3">
        <f>AVERAGE(G4,I4,K4,M4,P4)</f>
        <v/>
      </c>
      <c r="P4" s="3" t="n">
        <v>0.2</v>
      </c>
      <c r="Q4" s="2" t="inlineStr">
        <is>
          <t>Waste management</t>
        </is>
      </c>
      <c r="R4" s="2" t="inlineStr">
        <is>
          <t>Art. 5: Assigns competencies to Environment Ministry (rules, fiscalization, monitoring, valorisation oversight), Industry/Commerce Ministry (import/production standards), and Finance Ministry (tax/fine collection, customs clearance control).</t>
        </is>
      </c>
      <c r="S4" s="3" t="n">
        <v>1</v>
      </c>
      <c r="T4" s="3" t="n">
        <v>0.5</v>
      </c>
      <c r="U4" s="2" t="inlineStr">
        <is>
          <t>'Compete ao Ministério que superintende a área do Ambiente' fiscalizar, sancionar e monitorar; MIC define normas de produção/importação; MEF garante cobrança de taxas e controlo aduaneiro. Multi-ministry coordination (+0.25). Africa RISE/Imani project 2022–2025 supported TAE diploma and COMAGE operationalisation (+0.25).</t>
        </is>
      </c>
      <c r="V4" s="3">
        <f>AVERAGE(P4,T4)</f>
        <v/>
      </c>
      <c r="W4" s="2" t="inlineStr">
        <is>
          <t>Multi-level governance (Rule 11); Decreto Art. 2 assigns MTA, MIC, MEF implementation.</t>
        </is>
      </c>
    </row>
    <row r="5">
      <c r="A5" s="2" t="inlineStr">
        <is>
          <t>Regulamento sobre a Responsabilidade Alargada dos Produtores e Importadores de Embalagens (Decreto n.º 79/2017, de 28 de Dezembro)</t>
        </is>
      </c>
      <c r="B5" s="2" t="inlineStr">
        <is>
          <t>https://www.lexology.com/library/detail.aspx?g=bc88751e-ed7d-4f3f-972c-158b0f8fbbdf</t>
        </is>
      </c>
      <c r="C5" s="2" t="n">
        <v>2017</v>
      </c>
      <c r="D5" s="2" t="inlineStr">
        <is>
          <t>Adopt principles, norms and guidelines assigning extended responsibility to producers and importers of packaging and packaging waste to protect public health and the environment within sustainable development, through internal management systems, the Packaging Environmental Fee (TAE), and packaging normalisation.</t>
        </is>
      </c>
      <c r="E5" s="2" t="n">
        <v>0</v>
      </c>
      <c r="F5" s="2" t="inlineStr"/>
      <c r="G5" s="3" t="n">
        <v>0.75</v>
      </c>
      <c r="H5" s="2" t="inlineStr">
        <is>
          <t>Executive decree (Decreto n.º 79/2017) approved by the Council of Ministers on 21 November 2017 and published 28 December 2017 (Boletim da República), under Lei 20/97 Arts. 10 and 33. Sub-legislative EPR instrument, not parliamentary legislation.</t>
        </is>
      </c>
      <c r="I5" s="3" t="n">
        <v>0.75</v>
      </c>
      <c r="J5" s="2" t="inlineStr">
        <is>
          <t>packaging, plastics, industry, retail, import, municipalities, waste management, recycling, chemicals, finance</t>
        </is>
      </c>
      <c r="K5" s="3" t="n">
        <v>0.75</v>
      </c>
      <c r="L5" s="2" t="inlineStr">
        <is>
          <t>production, consumption, recycling, disposal</t>
        </is>
      </c>
      <c r="M5" s="3" t="n">
        <v>1</v>
      </c>
      <c r="N5" s="2" t="inlineStr">
        <is>
          <t>Art. 24: TAE revenues allocated 60% State Budget / 40% FNDS; fine revenues 40% State / 60% FNDS, ring-fenced for integrated waste management, selective collection, recycling, valorisation, environmental education and institutional strengthening. COMAGE operating costs borne by FNDS (Art. 23(5)).</t>
        </is>
      </c>
      <c r="O5" s="3">
        <f>AVERAGE(G5,I5,K5,M5,P5)</f>
        <v/>
      </c>
      <c r="P5" s="3" t="n">
        <v>0.2</v>
      </c>
      <c r="Q5" s="2" t="inlineStr">
        <is>
          <t>Waste management</t>
        </is>
      </c>
      <c r="R5" s="2" t="inlineStr">
        <is>
          <t>Art. 6: Municipal councils and local State bodies responsible for urban solid waste management in their jurisdictions; may receive financial counterparties from approved packaging waste management projects and may contract licensed public/private operators.</t>
        </is>
      </c>
      <c r="S5" s="3" t="n">
        <v>1</v>
      </c>
      <c r="T5" s="3" t="n">
        <v>0.25</v>
      </c>
      <c r="U5" s="2" t="inlineStr">
        <is>
          <t>'As Autarquias e os Órgãos Locais do Estado são responsáveis pela gestão de resíduos sólidos urbanos.' Municipal authority designated (+0.25). Project-based counterparties require submission and approval — discretionary, not automatic funding.</t>
        </is>
      </c>
      <c r="V5" s="3">
        <f>AVERAGE(P5,T5)</f>
        <v/>
      </c>
      <c r="W5" s="2" t="inlineStr">
        <is>
          <t>Links EPR revenues (Art. 24 FNDS) to local waste infrastructure.</t>
        </is>
      </c>
    </row>
    <row r="6">
      <c r="A6" s="2" t="inlineStr">
        <is>
          <t>Regulamento sobre a Responsabilidade Alargada dos Produtores e Importadores de Embalagens (Decreto n.º 79/2017, de 28 de Dezembro)</t>
        </is>
      </c>
      <c r="B6" s="2" t="inlineStr">
        <is>
          <t>https://www.lexology.com/library/detail.aspx?g=bc88751e-ed7d-4f3f-972c-158b0f8fbbdf</t>
        </is>
      </c>
      <c r="C6" s="2" t="n">
        <v>2017</v>
      </c>
      <c r="D6" s="2" t="inlineStr">
        <is>
          <t>Adopt principles, norms and guidelines assigning extended responsibility to producers and importers of packaging and packaging waste to protect public health and the environment within sustainable development, through internal management systems, the Packaging Environmental Fee (TAE), and packaging normalisation.</t>
        </is>
      </c>
      <c r="E6" s="2" t="n">
        <v>0</v>
      </c>
      <c r="F6" s="2" t="inlineStr"/>
      <c r="G6" s="3" t="n">
        <v>0.75</v>
      </c>
      <c r="H6" s="2" t="inlineStr">
        <is>
          <t>Executive decree (Decreto n.º 79/2017) approved by the Council of Ministers on 21 November 2017 and published 28 December 2017 (Boletim da República), under Lei 20/97 Arts. 10 and 33. Sub-legislative EPR instrument, not parliamentary legislation.</t>
        </is>
      </c>
      <c r="I6" s="3" t="n">
        <v>0.75</v>
      </c>
      <c r="J6" s="2" t="inlineStr">
        <is>
          <t>packaging, plastics, industry, retail, import, municipalities, waste management, recycling, chemicals, finance</t>
        </is>
      </c>
      <c r="K6" s="3" t="n">
        <v>0.75</v>
      </c>
      <c r="L6" s="2" t="inlineStr">
        <is>
          <t>production, consumption, recycling, disposal</t>
        </is>
      </c>
      <c r="M6" s="3" t="n">
        <v>1</v>
      </c>
      <c r="N6" s="2" t="inlineStr">
        <is>
          <t>Art. 24: TAE revenues allocated 60% State Budget / 40% FNDS; fine revenues 40% State / 60% FNDS, ring-fenced for integrated waste management, selective collection, recycling, valorisation, environmental education and institutional strengthening. COMAGE operating costs borne by FNDS (Art. 23(5)).</t>
        </is>
      </c>
      <c r="O6" s="3">
        <f>AVERAGE(G6,I6,K6,M6,P6)</f>
        <v/>
      </c>
      <c r="P6" s="3" t="n">
        <v>1</v>
      </c>
      <c r="Q6" s="2" t="inlineStr">
        <is>
          <t>Production</t>
        </is>
      </c>
      <c r="R6" s="2" t="inlineStr">
        <is>
          <t>Art. 7: Producers and importers co-responsible for packaging and packaging-waste management — must pay TAE fees and ensure return/valorisation of packaging waste directly or through recovery organisations.</t>
        </is>
      </c>
      <c r="S6" s="3" t="n">
        <v>1</v>
      </c>
      <c r="T6" s="3" t="n">
        <v>0.5</v>
      </c>
      <c r="U6" s="2" t="inlineStr">
        <is>
          <t>'Os produtores e importadores são co-responsáveis pela gestão das embalagens e resíduos de embalagens.' Mandatory co-responsibility (+0.25). TAE payment obligation (+0.25) operationalising via DM 26/2025. Take-back/valorisation weakly implemented for plastics (IUCN 2022; VdA 2018 anticipates significant business impact).</t>
        </is>
      </c>
      <c r="V6" s="3">
        <f>AVERAGE(P6,T6)</f>
        <v/>
      </c>
      <c r="W6" s="2" t="inlineStr">
        <is>
          <t>Core EPR obligation. Annex I explicitly covers all plastic types including polystyrene foam (item 1.2).</t>
        </is>
      </c>
    </row>
    <row r="7">
      <c r="A7" s="2" t="inlineStr">
        <is>
          <t>Regulamento sobre a Responsabilidade Alargada dos Produtores e Importadores de Embalagens (Decreto n.º 79/2017, de 28 de Dezembro)</t>
        </is>
      </c>
      <c r="B7" s="2" t="inlineStr">
        <is>
          <t>https://www.lexology.com/library/detail.aspx?g=bc88751e-ed7d-4f3f-972c-158b0f8fbbdf</t>
        </is>
      </c>
      <c r="C7" s="2" t="n">
        <v>2017</v>
      </c>
      <c r="D7" s="2" t="inlineStr">
        <is>
          <t>Adopt principles, norms and guidelines assigning extended responsibility to producers and importers of packaging and packaging waste to protect public health and the environment within sustainable development, through internal management systems, the Packaging Environmental Fee (TAE), and packaging normalisation.</t>
        </is>
      </c>
      <c r="E7" s="2" t="n">
        <v>0</v>
      </c>
      <c r="F7" s="2" t="inlineStr"/>
      <c r="G7" s="3" t="n">
        <v>0.75</v>
      </c>
      <c r="H7" s="2" t="inlineStr">
        <is>
          <t>Executive decree (Decreto n.º 79/2017) approved by the Council of Ministers on 21 November 2017 and published 28 December 2017 (Boletim da República), under Lei 20/97 Arts. 10 and 33. Sub-legislative EPR instrument, not parliamentary legislation.</t>
        </is>
      </c>
      <c r="I7" s="3" t="n">
        <v>0.75</v>
      </c>
      <c r="J7" s="2" t="inlineStr">
        <is>
          <t>packaging, plastics, industry, retail, import, municipalities, waste management, recycling, chemicals, finance</t>
        </is>
      </c>
      <c r="K7" s="3" t="n">
        <v>0.75</v>
      </c>
      <c r="L7" s="2" t="inlineStr">
        <is>
          <t>production, consumption, recycling, disposal</t>
        </is>
      </c>
      <c r="M7" s="3" t="n">
        <v>1</v>
      </c>
      <c r="N7" s="2" t="inlineStr">
        <is>
          <t>Art. 24: TAE revenues allocated 60% State Budget / 40% FNDS; fine revenues 40% State / 60% FNDS, ring-fenced for integrated waste management, selective collection, recycling, valorisation, environmental education and institutional strengthening. COMAGE operating costs borne by FNDS (Art. 23(5)).</t>
        </is>
      </c>
      <c r="O7" s="3">
        <f>AVERAGE(G7,I7,K7,M7,P7)</f>
        <v/>
      </c>
      <c r="P7" s="3" t="n">
        <v>1</v>
      </c>
      <c r="Q7" s="2" t="inlineStr">
        <is>
          <t>Recycling</t>
        </is>
      </c>
      <c r="R7" s="2" t="inlineStr">
        <is>
          <t>Art. 8: Waste operators must ensure environmentally safe, sustainable management favouring reduction, recycling and reuse; promote environmental education; and register with the Environment Ministry.</t>
        </is>
      </c>
      <c r="S7" s="3" t="n">
        <v>1</v>
      </c>
      <c r="T7" s="3" t="n">
        <v>0.25</v>
      </c>
      <c r="U7" s="2" t="inlineStr">
        <is>
          <t>'Assegurar uma gestão ambientalmente segura, sustentável e racional das embalagens, tendo em conta a necessidade da sua redução, reciclagem e reutilização.' Registration requirement (+0.25). Limited evidence of comprehensive operator registration for plastic packaging streams.</t>
        </is>
      </c>
      <c r="V7" s="3">
        <f>AVERAGE(P7,T7)</f>
        <v/>
      </c>
      <c r="W7" s="2" t="inlineStr">
        <is>
          <t>Applies to licensed operators handling plastic packaging waste.</t>
        </is>
      </c>
    </row>
    <row r="8">
      <c r="A8" s="2" t="inlineStr">
        <is>
          <t>Regulamento sobre a Responsabilidade Alargada dos Produtores e Importadores de Embalagens (Decreto n.º 79/2017, de 28 de Dezembro)</t>
        </is>
      </c>
      <c r="B8" s="2" t="inlineStr">
        <is>
          <t>https://www.lexology.com/library/detail.aspx?g=bc88751e-ed7d-4f3f-972c-158b0f8fbbdf</t>
        </is>
      </c>
      <c r="C8" s="2" t="n">
        <v>2017</v>
      </c>
      <c r="D8" s="2" t="inlineStr">
        <is>
          <t>Adopt principles, norms and guidelines assigning extended responsibility to producers and importers of packaging and packaging waste to protect public health and the environment within sustainable development, through internal management systems, the Packaging Environmental Fee (TAE), and packaging normalisation.</t>
        </is>
      </c>
      <c r="E8" s="2" t="n">
        <v>0</v>
      </c>
      <c r="F8" s="2" t="inlineStr"/>
      <c r="G8" s="3" t="n">
        <v>0.75</v>
      </c>
      <c r="H8" s="2" t="inlineStr">
        <is>
          <t>Executive decree (Decreto n.º 79/2017) approved by the Council of Ministers on 21 November 2017 and published 28 December 2017 (Boletim da República), under Lei 20/97 Arts. 10 and 33. Sub-legislative EPR instrument, not parliamentary legislation.</t>
        </is>
      </c>
      <c r="I8" s="3" t="n">
        <v>0.75</v>
      </c>
      <c r="J8" s="2" t="inlineStr">
        <is>
          <t>packaging, plastics, industry, retail, import, municipalities, waste management, recycling, chemicals, finance</t>
        </is>
      </c>
      <c r="K8" s="3" t="n">
        <v>0.75</v>
      </c>
      <c r="L8" s="2" t="inlineStr">
        <is>
          <t>production, consumption, recycling, disposal</t>
        </is>
      </c>
      <c r="M8" s="3" t="n">
        <v>1</v>
      </c>
      <c r="N8" s="2" t="inlineStr">
        <is>
          <t>Art. 24: TAE revenues allocated 60% State Budget / 40% FNDS; fine revenues 40% State / 60% FNDS, ring-fenced for integrated waste management, selective collection, recycling, valorisation, environmental education and institutional strengthening. COMAGE operating costs borne by FNDS (Art. 23(5)).</t>
        </is>
      </c>
      <c r="O8" s="3">
        <f>AVERAGE(G8,I8,K8,M8,P8)</f>
        <v/>
      </c>
      <c r="P8" s="3" t="n">
        <v>1</v>
      </c>
      <c r="Q8" s="2" t="inlineStr">
        <is>
          <t>Recycling</t>
        </is>
      </c>
      <c r="R8" s="2" t="inlineStr">
        <is>
          <t>Art. 9–10: Three combined EPR systems — Internal Management (direct/indirect), Packaging Environmental Fee (TAE), and Packaging Normalisation — may be applied jointly for optimal packaging management.</t>
        </is>
      </c>
      <c r="S8" s="3" t="n">
        <v>1</v>
      </c>
      <c r="T8" s="3" t="n">
        <v>0.5</v>
      </c>
      <c r="U8" s="2" t="inlineStr">
        <is>
          <t>'A responsabilidade do produtor e importador de embalagens é assumida através dos seguintes sistemas' (internal management, TAE, normalisation). Framework operative (+0.25). IUCN 2022 / Lexology-type analysis: only TAE system substantially implemented; internal management and normalisation need greater producer investment.</t>
        </is>
      </c>
      <c r="V8" s="3">
        <f>AVERAGE(P8,T8)</f>
        <v/>
      </c>
      <c r="W8" s="2" t="inlineStr">
        <is>
          <t>Overarching EPR architecture instrument; one row for Art. 9 system design.</t>
        </is>
      </c>
    </row>
    <row r="9">
      <c r="A9" s="2" t="inlineStr">
        <is>
          <t>Regulamento sobre a Responsabilidade Alargada dos Produtores e Importadores de Embalagens (Decreto n.º 79/2017, de 28 de Dezembro)</t>
        </is>
      </c>
      <c r="B9" s="2" t="inlineStr">
        <is>
          <t>https://www.lexology.com/library/detail.aspx?g=bc88751e-ed7d-4f3f-972c-158b0f8fbbdf</t>
        </is>
      </c>
      <c r="C9" s="2" t="n">
        <v>2017</v>
      </c>
      <c r="D9" s="2" t="inlineStr">
        <is>
          <t>Adopt principles, norms and guidelines assigning extended responsibility to producers and importers of packaging and packaging waste to protect public health and the environment within sustainable development, through internal management systems, the Packaging Environmental Fee (TAE), and packaging normalisation.</t>
        </is>
      </c>
      <c r="E9" s="2" t="n">
        <v>0</v>
      </c>
      <c r="F9" s="2" t="inlineStr"/>
      <c r="G9" s="3" t="n">
        <v>0.75</v>
      </c>
      <c r="H9" s="2" t="inlineStr">
        <is>
          <t>Executive decree (Decreto n.º 79/2017) approved by the Council of Ministers on 21 November 2017 and published 28 December 2017 (Boletim da República), under Lei 20/97 Arts. 10 and 33. Sub-legislative EPR instrument, not parliamentary legislation.</t>
        </is>
      </c>
      <c r="I9" s="3" t="n">
        <v>0.75</v>
      </c>
      <c r="J9" s="2" t="inlineStr">
        <is>
          <t>packaging, plastics, industry, retail, import, municipalities, waste management, recycling, chemicals, finance</t>
        </is>
      </c>
      <c r="K9" s="3" t="n">
        <v>0.75</v>
      </c>
      <c r="L9" s="2" t="inlineStr">
        <is>
          <t>production, consumption, recycling, disposal</t>
        </is>
      </c>
      <c r="M9" s="3" t="n">
        <v>1</v>
      </c>
      <c r="N9" s="2" t="inlineStr">
        <is>
          <t>Art. 24: TAE revenues allocated 60% State Budget / 40% FNDS; fine revenues 40% State / 60% FNDS, ring-fenced for integrated waste management, selective collection, recycling, valorisation, environmental education and institutional strengthening. COMAGE operating costs borne by FNDS (Art. 23(5)).</t>
        </is>
      </c>
      <c r="O9" s="3">
        <f>AVERAGE(G9,I9,K9,M9,P9)</f>
        <v/>
      </c>
      <c r="P9" s="3" t="n">
        <v>1</v>
      </c>
      <c r="Q9" s="2" t="inlineStr">
        <is>
          <t>Recycling</t>
        </is>
      </c>
      <c r="R9" s="2" t="inlineStr">
        <is>
          <t>Art. 11: Direct internal management — producers/importers may individually or jointly pursue reduction, reuse, recycling, organic recovery, energy recovery or incineration; consumers pay a deposit at purchase refunded on return of used packaging.</t>
        </is>
      </c>
      <c r="S9" s="3" t="n">
        <v>1</v>
      </c>
      <c r="T9" s="3" t="n">
        <v>0.25</v>
      </c>
      <c r="U9" s="2" t="inlineStr">
        <is>
          <t>'o consumidor de produtos que utilizem embalagens paga um determinado valor de depósito no acto da compra, que lhe é devolvido aquando da entrega da embalagem utilizada.' Deposit-return mechanism defined (+0.25). No national deposit system evidenced operational for plastic packaging (IUCN recommends Maputo pilot).</t>
        </is>
      </c>
      <c r="V9" s="3">
        <f>AVERAGE(P9,T9)</f>
        <v/>
      </c>
      <c r="W9" s="2" t="inlineStr">
        <is>
          <t>Deposit-return (DRS) for packaging including plastics. Art. 20(2)(a) penalises refusal to accept used packaging or refund deposits (15 minimum wages).</t>
        </is>
      </c>
    </row>
    <row r="10">
      <c r="A10" s="2" t="inlineStr">
        <is>
          <t>Regulamento sobre a Responsabilidade Alargada dos Produtores e Importadores de Embalagens (Decreto n.º 79/2017, de 28 de Dezembro)</t>
        </is>
      </c>
      <c r="B10" s="2" t="inlineStr">
        <is>
          <t>https://www.lexology.com/library/detail.aspx?g=bc88751e-ed7d-4f3f-972c-158b0f8fbbdf</t>
        </is>
      </c>
      <c r="C10" s="2" t="n">
        <v>2017</v>
      </c>
      <c r="D10" s="2" t="inlineStr">
        <is>
          <t>Adopt principles, norms and guidelines assigning extended responsibility to producers and importers of packaging and packaging waste to protect public health and the environment within sustainable development, through internal management systems, the Packaging Environmental Fee (TAE), and packaging normalisation.</t>
        </is>
      </c>
      <c r="E10" s="2" t="n">
        <v>0</v>
      </c>
      <c r="F10" s="2" t="inlineStr"/>
      <c r="G10" s="3" t="n">
        <v>0.75</v>
      </c>
      <c r="H10" s="2" t="inlineStr">
        <is>
          <t>Executive decree (Decreto n.º 79/2017) approved by the Council of Ministers on 21 November 2017 and published 28 December 2017 (Boletim da República), under Lei 20/97 Arts. 10 and 33. Sub-legislative EPR instrument, not parliamentary legislation.</t>
        </is>
      </c>
      <c r="I10" s="3" t="n">
        <v>0.75</v>
      </c>
      <c r="J10" s="2" t="inlineStr">
        <is>
          <t>packaging, plastics, industry, retail, import, municipalities, waste management, recycling, chemicals, finance</t>
        </is>
      </c>
      <c r="K10" s="3" t="n">
        <v>0.75</v>
      </c>
      <c r="L10" s="2" t="inlineStr">
        <is>
          <t>production, consumption, recycling, disposal</t>
        </is>
      </c>
      <c r="M10" s="3" t="n">
        <v>1</v>
      </c>
      <c r="N10" s="2" t="inlineStr">
        <is>
          <t>Art. 24: TAE revenues allocated 60% State Budget / 40% FNDS; fine revenues 40% State / 60% FNDS, ring-fenced for integrated waste management, selective collection, recycling, valorisation, environmental education and institutional strengthening. COMAGE operating costs borne by FNDS (Art. 23(5)).</t>
        </is>
      </c>
      <c r="O10" s="3">
        <f>AVERAGE(G10,I10,K10,M10,P10)</f>
        <v/>
      </c>
      <c r="P10" s="3" t="n">
        <v>1</v>
      </c>
      <c r="Q10" s="2" t="inlineStr">
        <is>
          <t>Recycling</t>
        </is>
      </c>
      <c r="R10" s="2" t="inlineStr">
        <is>
          <t>Art. 12: Indirect internal management — producers/importers may contract licensed waste operators (PRO-type entities) for collection, selective sorting, take-back and valorisation; financial counterparties required; responsibility transfers upon certified operator assumption declaration.</t>
        </is>
      </c>
      <c r="S10" s="3" t="n">
        <v>1</v>
      </c>
      <c r="T10" s="3" t="n">
        <v>0.25</v>
      </c>
      <c r="U10" s="2" t="inlineStr">
        <is>
          <t>'A responsabilidade dos produtores ou importadores... pode ser transferida, mediante celebração de contrato, para uma entidade devidamente licenciada.' PRO framework defined (+0.25). IUCN: indirect management system not yet operational at scale; producer inventories and PRO mandates need development.</t>
        </is>
      </c>
      <c r="V10" s="3">
        <f>AVERAGE(P10,T10)</f>
        <v/>
      </c>
      <c r="W10" s="2" t="inlineStr">
        <is>
          <t>Mozambique PRO/contractual EPR model per VdA and IUCN analysis.</t>
        </is>
      </c>
    </row>
    <row r="11">
      <c r="A11" s="2" t="inlineStr">
        <is>
          <t>Regulamento sobre a Responsabilidade Alargada dos Produtores e Importadores de Embalagens (Decreto n.º 79/2017, de 28 de Dezembro)</t>
        </is>
      </c>
      <c r="B11" s="2" t="inlineStr">
        <is>
          <t>https://www.lexology.com/library/detail.aspx?g=bc88751e-ed7d-4f3f-972c-158b0f8fbbdf</t>
        </is>
      </c>
      <c r="C11" s="2" t="n">
        <v>2017</v>
      </c>
      <c r="D11" s="2" t="inlineStr">
        <is>
          <t>Adopt principles, norms and guidelines assigning extended responsibility to producers and importers of packaging and packaging waste to protect public health and the environment within sustainable development, through internal management systems, the Packaging Environmental Fee (TAE), and packaging normalisation.</t>
        </is>
      </c>
      <c r="E11" s="2" t="n">
        <v>0</v>
      </c>
      <c r="F11" s="2" t="inlineStr"/>
      <c r="G11" s="3" t="n">
        <v>0.75</v>
      </c>
      <c r="H11" s="2" t="inlineStr">
        <is>
          <t>Executive decree (Decreto n.º 79/2017) approved by the Council of Ministers on 21 November 2017 and published 28 December 2017 (Boletim da República), under Lei 20/97 Arts. 10 and 33. Sub-legislative EPR instrument, not parliamentary legislation.</t>
        </is>
      </c>
      <c r="I11" s="3" t="n">
        <v>0.75</v>
      </c>
      <c r="J11" s="2" t="inlineStr">
        <is>
          <t>packaging, plastics, industry, retail, import, municipalities, waste management, recycling, chemicals, finance</t>
        </is>
      </c>
      <c r="K11" s="3" t="n">
        <v>0.75</v>
      </c>
      <c r="L11" s="2" t="inlineStr">
        <is>
          <t>production, consumption, recycling, disposal</t>
        </is>
      </c>
      <c r="M11" s="3" t="n">
        <v>1</v>
      </c>
      <c r="N11" s="2" t="inlineStr">
        <is>
          <t>Art. 24: TAE revenues allocated 60% State Budget / 40% FNDS; fine revenues 40% State / 60% FNDS, ring-fenced for integrated waste management, selective collection, recycling, valorisation, environmental education and institutional strengthening. COMAGE operating costs borne by FNDS (Art. 23(5)).</t>
        </is>
      </c>
      <c r="O11" s="3">
        <f>AVERAGE(G11,I11,K11,M11,P11)</f>
        <v/>
      </c>
      <c r="P11" s="3" t="n">
        <v>0.6</v>
      </c>
      <c r="Q11" s="2" t="inlineStr">
        <is>
          <t>Recycling</t>
        </is>
      </c>
      <c r="R11" s="2" t="inlineStr">
        <is>
          <t>Art. 13–14: Creates variable Packaging Environmental Fee (TAE) payable by all packaging producers and importers, based on environmental/public-health impact and treatment complexity; criteria include returnability, decomposition time/impact, treatment cost, and eco-design.</t>
        </is>
      </c>
      <c r="S11" s="3" t="n">
        <v>1</v>
      </c>
      <c r="T11" s="3" t="n">
        <v>0.75</v>
      </c>
      <c r="U11" s="2" t="inlineStr">
        <is>
          <t>'É criada a Taxa Ambiental sobre a Embalagem (TAE).' DM 26/2025 (10 March 2025) defines formula, categories and exemptions per Art. 15 (+0.25). Levied on primary packaging including plastic (+0.25). AT collects on imports; annual production reports for domestic producers (Art. 16). Payment from 2026 after management-plan period (Club of Mozambique/Lusa). Up to 90% reduction when internal management established.</t>
        </is>
      </c>
      <c r="V11" s="3">
        <f>AVERAGE(P11,T11)</f>
        <v/>
      </c>
      <c r="W11" s="2" t="inlineStr">
        <is>
          <t>Previously scored in_force=0 pending diploma; DM 26/2025 operationalises Art. 15. Lexology URL and Africa RISE project document TAE as primary implemented EPR pillar.</t>
        </is>
      </c>
    </row>
    <row r="12">
      <c r="A12" s="2" t="inlineStr">
        <is>
          <t>Regulamento sobre a Responsabilidade Alargada dos Produtores e Importadores de Embalagens (Decreto n.º 79/2017, de 28 de Dezembro)</t>
        </is>
      </c>
      <c r="B12" s="2" t="inlineStr">
        <is>
          <t>https://www.lexology.com/library/detail.aspx?g=bc88751e-ed7d-4f3f-972c-158b0f8fbbdf</t>
        </is>
      </c>
      <c r="C12" s="2" t="n">
        <v>2017</v>
      </c>
      <c r="D12" s="2" t="inlineStr">
        <is>
          <t>Adopt principles, norms and guidelines assigning extended responsibility to producers and importers of packaging and packaging waste to protect public health and the environment within sustainable development, through internal management systems, the Packaging Environmental Fee (TAE), and packaging normalisation.</t>
        </is>
      </c>
      <c r="E12" s="2" t="n">
        <v>0</v>
      </c>
      <c r="F12" s="2" t="inlineStr"/>
      <c r="G12" s="3" t="n">
        <v>0.75</v>
      </c>
      <c r="H12" s="2" t="inlineStr">
        <is>
          <t>Executive decree (Decreto n.º 79/2017) approved by the Council of Ministers on 21 November 2017 and published 28 December 2017 (Boletim da República), under Lei 20/97 Arts. 10 and 33. Sub-legislative EPR instrument, not parliamentary legislation.</t>
        </is>
      </c>
      <c r="I12" s="3" t="n">
        <v>0.75</v>
      </c>
      <c r="J12" s="2" t="inlineStr">
        <is>
          <t>packaging, plastics, industry, retail, import, municipalities, waste management, recycling, chemicals, finance</t>
        </is>
      </c>
      <c r="K12" s="3" t="n">
        <v>0.75</v>
      </c>
      <c r="L12" s="2" t="inlineStr">
        <is>
          <t>production, consumption, recycling, disposal</t>
        </is>
      </c>
      <c r="M12" s="3" t="n">
        <v>1</v>
      </c>
      <c r="N12" s="2" t="inlineStr">
        <is>
          <t>Art. 24: TAE revenues allocated 60% State Budget / 40% FNDS; fine revenues 40% State / 60% FNDS, ring-fenced for integrated waste management, selective collection, recycling, valorisation, environmental education and institutional strengthening. COMAGE operating costs borne by FNDS (Art. 23(5)).</t>
        </is>
      </c>
      <c r="O12" s="3">
        <f>AVERAGE(G12,I12,K12,M12,P12)</f>
        <v/>
      </c>
      <c r="P12" s="3" t="n">
        <v>0.6</v>
      </c>
      <c r="Q12" s="2" t="inlineStr">
        <is>
          <t>Production</t>
        </is>
      </c>
      <c r="R12" s="2" t="inlineStr">
        <is>
          <t>Art. 15–16: Ministerial diploma (DM 26/2025) defines TAE formula, procedures, packaging categories and exemptions; AT collects TAE on imported packaging at customs clearance; domestic producers pay annually based on production reports.</t>
        </is>
      </c>
      <c r="S12" s="3" t="n">
        <v>1</v>
      </c>
      <c r="T12" s="3" t="n">
        <v>0.75</v>
      </c>
      <c r="U12" s="2" t="inlineStr">
        <is>
          <t>'Por Diploma Ministerial conjunto... são definidas a fórmula de cálculo.' DM 26/2025 joint MTA/MEF/MIC adopted (+0.25). Formula based on waste treatment cost and material/weight impact factor (+0.25). 180-day entry into force; e-TAE platform referenced in news reports (+0.25 monitoring). Non-payment fined at 15 min. wages (Art. 20(2)(c)).</t>
        </is>
      </c>
      <c r="V12" s="3">
        <f>AVERAGE(P12,T12)</f>
        <v/>
      </c>
      <c r="W12" s="2" t="inlineStr">
        <is>
          <t>Enabling Art. 15 now exercised; distinguishes diploma mechanics from Art. 13 creation.</t>
        </is>
      </c>
    </row>
    <row r="13">
      <c r="A13" s="2" t="inlineStr">
        <is>
          <t>Regulamento sobre a Responsabilidade Alargada dos Produtores e Importadores de Embalagens (Decreto n.º 79/2017, de 28 de Dezembro)</t>
        </is>
      </c>
      <c r="B13" s="2" t="inlineStr">
        <is>
          <t>https://www.lexology.com/library/detail.aspx?g=bc88751e-ed7d-4f3f-972c-158b0f8fbbdf</t>
        </is>
      </c>
      <c r="C13" s="2" t="n">
        <v>2017</v>
      </c>
      <c r="D13" s="2" t="inlineStr">
        <is>
          <t>Adopt principles, norms and guidelines assigning extended responsibility to producers and importers of packaging and packaging waste to protect public health and the environment within sustainable development, through internal management systems, the Packaging Environmental Fee (TAE), and packaging normalisation.</t>
        </is>
      </c>
      <c r="E13" s="2" t="n">
        <v>0</v>
      </c>
      <c r="F13" s="2" t="inlineStr"/>
      <c r="G13" s="3" t="n">
        <v>0.75</v>
      </c>
      <c r="H13" s="2" t="inlineStr">
        <is>
          <t>Executive decree (Decreto n.º 79/2017) approved by the Council of Ministers on 21 November 2017 and published 28 December 2017 (Boletim da República), under Lei 20/97 Arts. 10 and 33. Sub-legislative EPR instrument, not parliamentary legislation.</t>
        </is>
      </c>
      <c r="I13" s="3" t="n">
        <v>0.75</v>
      </c>
      <c r="J13" s="2" t="inlineStr">
        <is>
          <t>packaging, plastics, industry, retail, import, municipalities, waste management, recycling, chemicals, finance</t>
        </is>
      </c>
      <c r="K13" s="3" t="n">
        <v>0.75</v>
      </c>
      <c r="L13" s="2" t="inlineStr">
        <is>
          <t>production, consumption, recycling, disposal</t>
        </is>
      </c>
      <c r="M13" s="3" t="n">
        <v>1</v>
      </c>
      <c r="N13" s="2" t="inlineStr">
        <is>
          <t>Art. 24: TAE revenues allocated 60% State Budget / 40% FNDS; fine revenues 40% State / 60% FNDS, ring-fenced for integrated waste management, selective collection, recycling, valorisation, environmental education and institutional strengthening. COMAGE operating costs borne by FNDS (Art. 23(5)).</t>
        </is>
      </c>
      <c r="O13" s="3">
        <f>AVERAGE(G13,I13,K13,M13,P13)</f>
        <v/>
      </c>
      <c r="P13" s="3" t="n">
        <v>1</v>
      </c>
      <c r="Q13" s="2" t="inlineStr">
        <is>
          <t>Production</t>
        </is>
      </c>
      <c r="R13" s="2" t="inlineStr">
        <is>
          <t>Art. 17: Packaging normalisation — packaging must preferentially use biodegradable materials or materials permitting reuse, recycling or recovery; producers must limit volume/weight, design for returnability, and ensure recyclability. Applies to manufacturers, material suppliers, importers and distributors.</t>
        </is>
      </c>
      <c r="S13" s="3" t="n">
        <v>1</v>
      </c>
      <c r="T13" s="3" t="n">
        <v>0.5</v>
      </c>
      <c r="U13" s="2" t="inlineStr">
        <is>
          <t>'As embalagens devem ser produzidas com materiais preferencialmente de natureza biodegradável ou que permitam a reutilização, reciclagem ou valorização' and 'Recicláveis.' Mandatory language (+0.25). Art. 20(2)(d): market placement without packaging norms — 15 min. wages (+0.25). VdA notes significant business impact; limited enforcement data for plastic streams.</t>
        </is>
      </c>
      <c r="V13" s="3">
        <f>AVERAGE(P13,T13)</f>
        <v/>
      </c>
      <c r="W13" s="2" t="inlineStr">
        <is>
          <t>Annex I typology item 1.2: all plastic types including polystyrene foam. Packaging Standardisation System per IUCN.</t>
        </is>
      </c>
    </row>
    <row r="14">
      <c r="A14" s="2" t="inlineStr">
        <is>
          <t>Regulamento sobre a Responsabilidade Alargada dos Produtores e Importadores de Embalagens (Decreto n.º 79/2017, de 28 de Dezembro)</t>
        </is>
      </c>
      <c r="B14" s="2" t="inlineStr">
        <is>
          <t>https://www.lexology.com/library/detail.aspx?g=bc88751e-ed7d-4f3f-972c-158b0f8fbbdf</t>
        </is>
      </c>
      <c r="C14" s="2" t="n">
        <v>2017</v>
      </c>
      <c r="D14" s="2" t="inlineStr">
        <is>
          <t>Adopt principles, norms and guidelines assigning extended responsibility to producers and importers of packaging and packaging waste to protect public health and the environment within sustainable development, through internal management systems, the Packaging Environmental Fee (TAE), and packaging normalisation.</t>
        </is>
      </c>
      <c r="E14" s="2" t="n">
        <v>0</v>
      </c>
      <c r="F14" s="2" t="inlineStr"/>
      <c r="G14" s="3" t="n">
        <v>0.75</v>
      </c>
      <c r="H14" s="2" t="inlineStr">
        <is>
          <t>Executive decree (Decreto n.º 79/2017) approved by the Council of Ministers on 21 November 2017 and published 28 December 2017 (Boletim da República), under Lei 20/97 Arts. 10 and 33. Sub-legislative EPR instrument, not parliamentary legislation.</t>
        </is>
      </c>
      <c r="I14" s="3" t="n">
        <v>0.75</v>
      </c>
      <c r="J14" s="2" t="inlineStr">
        <is>
          <t>packaging, plastics, industry, retail, import, municipalities, waste management, recycling, chemicals, finance</t>
        </is>
      </c>
      <c r="K14" s="3" t="n">
        <v>0.75</v>
      </c>
      <c r="L14" s="2" t="inlineStr">
        <is>
          <t>production, consumption, recycling, disposal</t>
        </is>
      </c>
      <c r="M14" s="3" t="n">
        <v>1</v>
      </c>
      <c r="N14" s="2" t="inlineStr">
        <is>
          <t>Art. 24: TAE revenues allocated 60% State Budget / 40% FNDS; fine revenues 40% State / 60% FNDS, ring-fenced for integrated waste management, selective collection, recycling, valorisation, environmental education and institutional strengthening. COMAGE operating costs borne by FNDS (Art. 23(5)).</t>
        </is>
      </c>
      <c r="O14" s="3">
        <f>AVERAGE(G14,I14,K14,M14,P14)</f>
        <v/>
      </c>
      <c r="P14" s="3" t="n">
        <v>0.4</v>
      </c>
      <c r="Q14" s="2" t="inlineStr">
        <is>
          <t>Consumption</t>
        </is>
      </c>
      <c r="R14" s="2" t="inlineStr">
        <is>
          <t>Art. 18: Packaging normalisation symbols for reusable, recyclable or recoverable packaging must be adopted on packaging or labels — clearly visible, legible, and durable for packaging lifetime including after opening.</t>
        </is>
      </c>
      <c r="S14" s="3" t="n">
        <v>1</v>
      </c>
      <c r="T14" s="3" t="n">
        <v>0.25</v>
      </c>
      <c r="U14" s="2" t="inlineStr">
        <is>
          <t>'devem ser adoptados símbolos específicos para as embalagens reutilizáveis, recicláveis ou valorizáveis' on packaging/labels. Information/labelling requirement (+0.25). Symbol standards not further specified in decree — implementation depends on complementary norms.</t>
        </is>
      </c>
      <c r="V14" s="3">
        <f>AVERAGE(P14,T14)</f>
        <v/>
      </c>
      <c r="W14" s="2" t="inlineStr">
        <is>
          <t>Information-type labelling; scored 0.40 per mandatory visibility requirement (Rule 10).</t>
        </is>
      </c>
    </row>
    <row r="15">
      <c r="A15" s="2" t="inlineStr">
        <is>
          <t>Regulamento sobre a Responsabilidade Alargada dos Produtores e Importadores de Embalagens (Decreto n.º 79/2017, de 28 de Dezembro)</t>
        </is>
      </c>
      <c r="B15" s="2" t="inlineStr">
        <is>
          <t>https://www.lexology.com/library/detail.aspx?g=bc88751e-ed7d-4f3f-972c-158b0f8fbbdf</t>
        </is>
      </c>
      <c r="C15" s="2" t="n">
        <v>2017</v>
      </c>
      <c r="D15" s="2" t="inlineStr">
        <is>
          <t>Adopt principles, norms and guidelines assigning extended responsibility to producers and importers of packaging and packaging waste to protect public health and the environment within sustainable development, through internal management systems, the Packaging Environmental Fee (TAE), and packaging normalisation.</t>
        </is>
      </c>
      <c r="E15" s="2" t="n">
        <v>0</v>
      </c>
      <c r="F15" s="2" t="inlineStr"/>
      <c r="G15" s="3" t="n">
        <v>0.75</v>
      </c>
      <c r="H15" s="2" t="inlineStr">
        <is>
          <t>Executive decree (Decreto n.º 79/2017) approved by the Council of Ministers on 21 November 2017 and published 28 December 2017 (Boletim da República), under Lei 20/97 Arts. 10 and 33. Sub-legislative EPR instrument, not parliamentary legislation.</t>
        </is>
      </c>
      <c r="I15" s="3" t="n">
        <v>0.75</v>
      </c>
      <c r="J15" s="2" t="inlineStr">
        <is>
          <t>packaging, plastics, industry, retail, import, municipalities, waste management, recycling, chemicals, finance</t>
        </is>
      </c>
      <c r="K15" s="3" t="n">
        <v>0.75</v>
      </c>
      <c r="L15" s="2" t="inlineStr">
        <is>
          <t>production, consumption, recycling, disposal</t>
        </is>
      </c>
      <c r="M15" s="3" t="n">
        <v>1</v>
      </c>
      <c r="N15" s="2" t="inlineStr">
        <is>
          <t>Art. 24: TAE revenues allocated 60% State Budget / 40% FNDS; fine revenues 40% State / 60% FNDS, ring-fenced for integrated waste management, selective collection, recycling, valorisation, environmental education and institutional strengthening. COMAGE operating costs borne by FNDS (Art. 23(5)).</t>
        </is>
      </c>
      <c r="O15" s="3">
        <f>AVERAGE(G15,I15,K15,M15,P15)</f>
        <v/>
      </c>
      <c r="P15" s="3" t="n">
        <v>0.2</v>
      </c>
      <c r="Q15" s="2" t="inlineStr">
        <is>
          <t>Waste management</t>
        </is>
      </c>
      <c r="R15" s="2" t="inlineStr">
        <is>
          <t>Art. 19: Environment Ministry fiscalizes Regulation compliance and decides on fines and accessory sanctions; Municipal Councils and District Administrations must collaborate by providing information for enforcement.</t>
        </is>
      </c>
      <c r="S15" s="3" t="n">
        <v>1</v>
      </c>
      <c r="T15" s="3" t="n">
        <v>0.5</v>
      </c>
      <c r="U15" s="2" t="inlineStr">
        <is>
          <t>'Compete ao Ministério que superintende a área do Ambiente fiscalizar o cumprimento do presente Regulamento.' Authority (+0.25), fine decision power linked to Arts. 20–22 (+0.25). Municipal collaboration duty (+0.25 monitoring).</t>
        </is>
      </c>
      <c r="V15" s="3">
        <f>AVERAGE(P15,T15)</f>
        <v/>
      </c>
      <c r="W15" s="2" t="inlineStr">
        <is>
          <t>Primary enforcement governance for EPR including plastic packaging.</t>
        </is>
      </c>
    </row>
    <row r="16">
      <c r="A16" s="2" t="inlineStr">
        <is>
          <t>Regulamento sobre a Responsabilidade Alargada dos Produtores e Importadores de Embalagens (Decreto n.º 79/2017, de 28 de Dezembro)</t>
        </is>
      </c>
      <c r="B16" s="2" t="inlineStr">
        <is>
          <t>https://www.lexology.com/library/detail.aspx?g=bc88751e-ed7d-4f3f-972c-158b0f8fbbdf</t>
        </is>
      </c>
      <c r="C16" s="2" t="n">
        <v>2017</v>
      </c>
      <c r="D16" s="2" t="inlineStr">
        <is>
          <t>Adopt principles, norms and guidelines assigning extended responsibility to producers and importers of packaging and packaging waste to protect public health and the environment within sustainable development, through internal management systems, the Packaging Environmental Fee (TAE), and packaging normalisation.</t>
        </is>
      </c>
      <c r="E16" s="2" t="n">
        <v>0</v>
      </c>
      <c r="F16" s="2" t="inlineStr"/>
      <c r="G16" s="3" t="n">
        <v>0.75</v>
      </c>
      <c r="H16" s="2" t="inlineStr">
        <is>
          <t>Executive decree (Decreto n.º 79/2017) approved by the Council of Ministers on 21 November 2017 and published 28 December 2017 (Boletim da República), under Lei 20/97 Arts. 10 and 33. Sub-legislative EPR instrument, not parliamentary legislation.</t>
        </is>
      </c>
      <c r="I16" s="3" t="n">
        <v>0.75</v>
      </c>
      <c r="J16" s="2" t="inlineStr">
        <is>
          <t>packaging, plastics, industry, retail, import, municipalities, waste management, recycling, chemicals, finance</t>
        </is>
      </c>
      <c r="K16" s="3" t="n">
        <v>0.75</v>
      </c>
      <c r="L16" s="2" t="inlineStr">
        <is>
          <t>production, consumption, recycling, disposal</t>
        </is>
      </c>
      <c r="M16" s="3" t="n">
        <v>1</v>
      </c>
      <c r="N16" s="2" t="inlineStr">
        <is>
          <t>Art. 24: TAE revenues allocated 60% State Budget / 40% FNDS; fine revenues 40% State / 60% FNDS, ring-fenced for integrated waste management, selective collection, recycling, valorisation, environmental education and institutional strengthening. COMAGE operating costs borne by FNDS (Art. 23(5)).</t>
        </is>
      </c>
      <c r="O16" s="3">
        <f>AVERAGE(G16,I16,K16,M16,P16)</f>
        <v/>
      </c>
      <c r="P16" s="3" t="n">
        <v>0.6</v>
      </c>
      <c r="Q16" s="2" t="inlineStr">
        <is>
          <t>Production</t>
        </is>
      </c>
      <c r="R16" s="2" t="inlineStr">
        <is>
          <t>Art. 20–22: Administrative fines — obstruction of inspection (10 min. wages); refusal of used packaging/deposit refund, placing packaged products without waste management assurance, non-payment of TAE, or non-compliant packaging (15 min. wages each); 30% cumulative increase for repeat offences; accessory sanctions include seizure, activity suspension, compulsory removal; 20-day payment deadline.</t>
        </is>
      </c>
      <c r="S16" s="3" t="n">
        <v>1</v>
      </c>
      <c r="T16" s="3" t="n">
        <v>0.75</v>
      </c>
      <c r="U16" s="2" t="inlineStr">
        <is>
          <t>'Constituem infracções... puníveis com sanção de multa correspondente a 10/15 Salários Mínimos.' Explicit fines (+0.25). TAE non-payment sanction (+0.25). Accessory sanctions Art. 21 (+0.25). Coercive fiscal execution via Juízo das Execuções Fiscais if unpaid (Art. 22).</t>
        </is>
      </c>
      <c r="V16" s="3">
        <f>AVERAGE(P16,T16)</f>
        <v/>
      </c>
      <c r="W16" s="2" t="inlineStr">
        <is>
          <t>Economic enforcement; VdA flash confirms 10–15 minimum wage fine range.</t>
        </is>
      </c>
    </row>
    <row r="17">
      <c r="A17" s="2" t="inlineStr">
        <is>
          <t>Regulamento sobre a Responsabilidade Alargada dos Produtores e Importadores de Embalagens (Decreto n.º 79/2017, de 28 de Dezembro)</t>
        </is>
      </c>
      <c r="B17" s="2" t="inlineStr">
        <is>
          <t>https://www.lexology.com/library/detail.aspx?g=bc88751e-ed7d-4f3f-972c-158b0f8fbbdf</t>
        </is>
      </c>
      <c r="C17" s="2" t="n">
        <v>2017</v>
      </c>
      <c r="D17" s="2" t="inlineStr">
        <is>
          <t>Adopt principles, norms and guidelines assigning extended responsibility to producers and importers of packaging and packaging waste to protect public health and the environment within sustainable development, through internal management systems, the Packaging Environmental Fee (TAE), and packaging normalisation.</t>
        </is>
      </c>
      <c r="E17" s="2" t="n">
        <v>0</v>
      </c>
      <c r="F17" s="2" t="inlineStr"/>
      <c r="G17" s="3" t="n">
        <v>0.75</v>
      </c>
      <c r="H17" s="2" t="inlineStr">
        <is>
          <t>Executive decree (Decreto n.º 79/2017) approved by the Council of Ministers on 21 November 2017 and published 28 December 2017 (Boletim da República), under Lei 20/97 Arts. 10 and 33. Sub-legislative EPR instrument, not parliamentary legislation.</t>
        </is>
      </c>
      <c r="I17" s="3" t="n">
        <v>0.75</v>
      </c>
      <c r="J17" s="2" t="inlineStr">
        <is>
          <t>packaging, plastics, industry, retail, import, municipalities, waste management, recycling, chemicals, finance</t>
        </is>
      </c>
      <c r="K17" s="3" t="n">
        <v>0.75</v>
      </c>
      <c r="L17" s="2" t="inlineStr">
        <is>
          <t>production, consumption, recycling, disposal</t>
        </is>
      </c>
      <c r="M17" s="3" t="n">
        <v>1</v>
      </c>
      <c r="N17" s="2" t="inlineStr">
        <is>
          <t>Art. 24: TAE revenues allocated 60% State Budget / 40% FNDS; fine revenues 40% State / 60% FNDS, ring-fenced for integrated waste management, selective collection, recycling, valorisation, environmental education and institutional strengthening. COMAGE operating costs borne by FNDS (Art. 23(5)).</t>
        </is>
      </c>
      <c r="O17" s="3">
        <f>AVERAGE(G17,I17,K17,M17,P17)</f>
        <v/>
      </c>
      <c r="P17" s="3" t="n">
        <v>0.2</v>
      </c>
      <c r="Q17" s="2" t="inlineStr">
        <is>
          <t>Waste management</t>
        </is>
      </c>
      <c r="R17" s="2" t="inlineStr">
        <is>
          <t>Art. 23: Creates COMAGE (Comissão de Monitoria e Avaliação da Gestão de Embalagens) — multistakeholder consultative body to advise on packaging management, coordinate authorities and operators, monitor TAE revenue use, and propose legal improvements; operating costs funded by FNDS.</t>
        </is>
      </c>
      <c r="S17" s="3" t="n">
        <v>1</v>
      </c>
      <c r="T17" s="3" t="n">
        <v>0.5</v>
      </c>
      <c r="U17" s="2" t="inlineStr">
        <is>
          <t>'É criada a Comissão de Monitoria e Avaliação da Gestão de Embalagens (COMAGE).' Body created (+0.25). Africa RISE/Imani 2022–2025 supported COMAGE operationalisation under MTA (+0.25). Consultative not executive — implementation depends on functioning secretariat and stakeholder participation.</t>
        </is>
      </c>
      <c r="V17" s="3">
        <f>AVERAGE(P17,T17)</f>
        <v/>
      </c>
      <c r="W17" s="2" t="inlineStr">
        <is>
          <t>Lexology/Africa RISE identify COMAGE as key EPR governance institution.</t>
        </is>
      </c>
    </row>
    <row r="18">
      <c r="A18" s="2" t="inlineStr">
        <is>
          <t>Regulamento sobre a Responsabilidade Alargada dos Produtores e Importadores de Embalagens (Decreto n.º 79/2017, de 28 de Dezembro)</t>
        </is>
      </c>
      <c r="B18" s="2" t="inlineStr">
        <is>
          <t>https://www.lexology.com/library/detail.aspx?g=bc88751e-ed7d-4f3f-972c-158b0f8fbbdf</t>
        </is>
      </c>
      <c r="C18" s="2" t="n">
        <v>2017</v>
      </c>
      <c r="D18" s="2" t="inlineStr">
        <is>
          <t>Adopt principles, norms and guidelines assigning extended responsibility to producers and importers of packaging and packaging waste to protect public health and the environment within sustainable development, through internal management systems, the Packaging Environmental Fee (TAE), and packaging normalisation.</t>
        </is>
      </c>
      <c r="E18" s="2" t="n">
        <v>0</v>
      </c>
      <c r="F18" s="2" t="inlineStr"/>
      <c r="G18" s="3" t="n">
        <v>0.75</v>
      </c>
      <c r="H18" s="2" t="inlineStr">
        <is>
          <t>Executive decree (Decreto n.º 79/2017) approved by the Council of Ministers on 21 November 2017 and published 28 December 2017 (Boletim da República), under Lei 20/97 Arts. 10 and 33. Sub-legislative EPR instrument, not parliamentary legislation.</t>
        </is>
      </c>
      <c r="I18" s="3" t="n">
        <v>0.75</v>
      </c>
      <c r="J18" s="2" t="inlineStr">
        <is>
          <t>packaging, plastics, industry, retail, import, municipalities, waste management, recycling, chemicals, finance</t>
        </is>
      </c>
      <c r="K18" s="3" t="n">
        <v>0.75</v>
      </c>
      <c r="L18" s="2" t="inlineStr">
        <is>
          <t>production, consumption, recycling, disposal</t>
        </is>
      </c>
      <c r="M18" s="3" t="n">
        <v>1</v>
      </c>
      <c r="N18" s="2" t="inlineStr">
        <is>
          <t>Art. 24: TAE revenues allocated 60% State Budget / 40% FNDS; fine revenues 40% State / 60% FNDS, ring-fenced for integrated waste management, selective collection, recycling, valorisation, environmental education and institutional strengthening. COMAGE operating costs borne by FNDS (Art. 23(5)).</t>
        </is>
      </c>
      <c r="O18" s="3">
        <f>AVERAGE(G18,I18,K18,M18,P18)</f>
        <v/>
      </c>
      <c r="P18" s="3" t="n">
        <v>0.6</v>
      </c>
      <c r="Q18" s="2" t="inlineStr">
        <is>
          <t>Waste management</t>
        </is>
      </c>
      <c r="R18" s="2" t="inlineStr">
        <is>
          <t>Art. 24: TAE revenue split 60% State / 40% FNDS; fine revenue 40% State / 60% FNDS; FNDS funds ring-fenced for integrated waste management, selective collection, reuse, recycling, valorisation, environmental education, and institutional strengthening for packaging waste.</t>
        </is>
      </c>
      <c r="S18" s="3" t="n">
        <v>1</v>
      </c>
      <c r="T18" s="3" t="n">
        <v>0.5</v>
      </c>
      <c r="U18" s="2" t="inlineStr">
        <is>
          <t>'40% para o FNDS' (taxes) and '60% para o FNDS' (fines) with enumerated eligible actions including selective collection and recycling (+0.25 ring-fenced allocation). COMAGE monitors TAE revenue application (Art. 23(2)(c)). Revenue flows depend on TAE collection commencing 2026.</t>
        </is>
      </c>
      <c r="V18" s="3">
        <f>AVERAGE(P18,T18)</f>
        <v/>
      </c>
      <c r="W18" s="2" t="inlineStr">
        <is>
          <t>Supports policy_budget = 1; links TAE to circular-economy waste infrastructure.</t>
        </is>
      </c>
    </row>
    <row r="19">
      <c r="A19" s="2" t="inlineStr">
        <is>
          <t>Regulamento sobre a Responsabilidade Alargada dos Produtores e Importadores de Embalagens (Decreto n.º 79/2017, de 28 de Dezembro)</t>
        </is>
      </c>
      <c r="B19" s="2" t="inlineStr">
        <is>
          <t>https://www.lexology.com/library/detail.aspx?g=bc88751e-ed7d-4f3f-972c-158b0f8fbbdf</t>
        </is>
      </c>
      <c r="C19" s="2" t="n">
        <v>2017</v>
      </c>
      <c r="D19" s="2" t="inlineStr">
        <is>
          <t>Adopt principles, norms and guidelines assigning extended responsibility to producers and importers of packaging and packaging waste to protect public health and the environment within sustainable development, through internal management systems, the Packaging Environmental Fee (TAE), and packaging normalisation.</t>
        </is>
      </c>
      <c r="E19" s="2" t="n">
        <v>0</v>
      </c>
      <c r="F19" s="2" t="inlineStr"/>
      <c r="G19" s="3" t="n">
        <v>0.75</v>
      </c>
      <c r="H19" s="2" t="inlineStr">
        <is>
          <t>Executive decree (Decreto n.º 79/2017) approved by the Council of Ministers on 21 November 2017 and published 28 December 2017 (Boletim da República), under Lei 20/97 Arts. 10 and 33. Sub-legislative EPR instrument, not parliamentary legislation.</t>
        </is>
      </c>
      <c r="I19" s="3" t="n">
        <v>0.75</v>
      </c>
      <c r="J19" s="2" t="inlineStr">
        <is>
          <t>packaging, plastics, industry, retail, import, municipalities, waste management, recycling, chemicals, finance</t>
        </is>
      </c>
      <c r="K19" s="3" t="n">
        <v>0.75</v>
      </c>
      <c r="L19" s="2" t="inlineStr">
        <is>
          <t>production, consumption, recycling, disposal</t>
        </is>
      </c>
      <c r="M19" s="3" t="n">
        <v>1</v>
      </c>
      <c r="N19" s="2" t="inlineStr">
        <is>
          <t>Art. 24: TAE revenues allocated 60% State Budget / 40% FNDS; fine revenues 40% State / 60% FNDS, ring-fenced for integrated waste management, selective collection, recycling, valorisation, environmental education and institutional strengthening. COMAGE operating costs borne by FNDS (Art. 23(5)).</t>
        </is>
      </c>
      <c r="O19" s="3">
        <f>AVERAGE(G19,I19,K19,M19,P19)</f>
        <v/>
      </c>
      <c r="P19" s="3" t="n">
        <v>0.4</v>
      </c>
      <c r="Q19" s="2" t="inlineStr">
        <is>
          <t>Waste management</t>
        </is>
      </c>
      <c r="R19" s="2" t="inlineStr">
        <is>
          <t>Art. 4(g): Environmental education principle — provide education and training to increase citizens' capacity for sustainable development and environmental quality tasks.</t>
        </is>
      </c>
      <c r="S19" s="3" t="n">
        <v>1</v>
      </c>
      <c r="T19" s="3" t="n">
        <v>0.25</v>
      </c>
      <c r="U19" s="2" t="inlineStr">
        <is>
          <t>'pressupõe providenciar a educação e formação ambiental.' Principle stated (+0.25). Art. 8(1)(c) requires waste operators to promote community awareness. FNDS may fund education actions (Art. 24(3)(c)) but no mandatory programme specified.</t>
        </is>
      </c>
      <c r="V19" s="3">
        <f>AVERAGE(P19,T19)</f>
        <v/>
      </c>
      <c r="W19" s="2" t="inlineStr">
        <is>
          <t>Information/education instrument complementing operator duties Art. 8(1)(c).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sheetData>
    <row r="1">
      <c r="A1" t="inlineStr">
        <is>
          <t>Field</t>
        </is>
      </c>
      <c r="B1" t="inlineStr">
        <is>
          <t>Value</t>
        </is>
      </c>
    </row>
    <row r="2">
      <c r="A2" t="inlineStr">
        <is>
          <t>Country</t>
        </is>
      </c>
      <c r="B2" t="inlineStr">
        <is>
          <t>Mozambique</t>
        </is>
      </c>
    </row>
    <row r="3">
      <c r="A3" t="inlineStr">
        <is>
          <t>Index</t>
        </is>
      </c>
      <c r="B3" t="inlineStr">
        <is>
          <t>4P Index v2</t>
        </is>
      </c>
    </row>
    <row r="4">
      <c r="A4" t="inlineStr">
        <is>
          <t>Policy</t>
        </is>
      </c>
      <c r="B4" t="inlineStr">
        <is>
          <t>Regulamento sobre a Responsabilidade Alargada dos Produtores e Importadores de Embalagens (Decreto n.º 79/2017, de 28 de Dezembro)</t>
        </is>
      </c>
    </row>
    <row r="5">
      <c r="A5" t="inlineStr">
        <is>
          <t>Primary legal text</t>
        </is>
      </c>
      <c r="B5" t="inlineStr">
        <is>
          <t>FDUEM Colectânea — Decreto 79/2017 section (user upload)</t>
        </is>
      </c>
    </row>
    <row r="6">
      <c r="A6" t="inlineStr">
        <is>
          <t>Analysis source (user)</t>
        </is>
      </c>
      <c r="B6" t="inlineStr">
        <is>
          <t>https://www.lexology.com/library/detail.aspx?g=bc88751e-ed7d-4f3f-972c-158b0f8fbbdf</t>
        </is>
      </c>
    </row>
    <row r="7">
      <c r="A7" t="inlineStr">
        <is>
          <t>Supplementary sources</t>
        </is>
      </c>
      <c r="B7" t="inlineStr">
        <is>
          <t>VdA Legal Partners flash 2018; IUCN MARPLASTICCS 2022; Club of Mozambique/Lusa DM 26/2025; Imani Development Africa RISE 2022–2025</t>
        </is>
      </c>
    </row>
    <row r="8">
      <c r="A8" t="inlineStr">
        <is>
          <t>Coding date</t>
        </is>
      </c>
      <c r="B8" t="inlineStr">
        <is>
          <t>June 2026</t>
        </is>
      </c>
    </row>
    <row r="9">
      <c r="A9" t="inlineStr">
        <is>
          <t>Total instrument rows</t>
        </is>
      </c>
      <c r="B9" t="n">
        <v>18</v>
      </c>
    </row>
    <row r="10">
      <c r="A10" t="inlineStr">
        <is>
          <t>Note</t>
        </is>
      </c>
      <c r="B10" t="inlineStr">
        <is>
          <t>Columns O and V use Excel formulas. policy_score = AVERAGE(G,I,K,M,P); instrument_score = AVERAGE(P,T). TAE in_force updated to 1 following DM 26/2025 (March 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2026-06-19T11:30:16Z</dcterms:created>
  <dcterms:modified xmlns:dcterms="http://purl.org/dc/terms/" xmlns:xsi="http://www.w3.org/2001/XMLSchema-instance" xsi:type="dcterms:W3CDTF">2026-06-19T11:30:16Z</dcterms:modified>
</cp:coreProperties>
</file>