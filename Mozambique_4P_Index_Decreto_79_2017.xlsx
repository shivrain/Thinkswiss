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9"/>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
  <sheetViews>
    <sheetView workbookViewId="0">
      <selection activeCell="A1" sqref="A1"/>
    </sheetView>
  </sheetViews>
  <sheetFormatPr baseColWidth="8" defaultRowHeight="15"/>
  <cols>
    <col width="48" customWidth="1" min="1" max="1"/>
    <col width="22" customWidth="1" min="2" max="2"/>
    <col width="8" customWidth="1" min="3" max="3"/>
    <col width="45" customWidth="1" min="4" max="4"/>
    <col width="8" customWidth="1" min="5" max="5"/>
    <col width="12" customWidth="1" min="6" max="6"/>
    <col width="8" customWidth="1" min="7" max="7"/>
    <col width="35" customWidth="1" min="8" max="8"/>
    <col width="8" customWidth="1" min="9" max="9"/>
    <col width="35" customWidth="1" min="10" max="10"/>
    <col width="8" customWidth="1" min="11" max="11"/>
    <col width="28" customWidth="1" min="12" max="12"/>
    <col width="8" customWidth="1" min="13" max="13"/>
    <col width="40" customWidth="1" min="14" max="14"/>
    <col width="10" customWidth="1" min="15" max="15"/>
    <col width="8" customWidth="1" min="16" max="16"/>
    <col width="20" customWidth="1" min="17" max="17"/>
    <col width="50" customWidth="1" min="18" max="18"/>
    <col width="8" customWidth="1" min="19" max="19"/>
    <col width="8" customWidth="1" min="20" max="20"/>
    <col width="40" customWidth="1" min="21" max="21"/>
    <col width="10" customWidth="1" min="22" max="22"/>
    <col width="40" customWidth="1" min="23" max="23"/>
  </cols>
  <sheetData>
    <row r="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c r="A2" s="2" t="inlineStr">
        <is>
          <t>Regulamento sobre a Responsabilidade Alargada dos Produtores e Importadores de Embalagens (Decreto n.º 79/2017, de 28 de Dezembro)</t>
        </is>
      </c>
      <c r="B2" s="2" t="inlineStr">
        <is>
          <t>https://www.lexology.com/library/detail.aspx?g=bc88751e-ed7d-4f3f-972c-158b0f8fbbdf</t>
        </is>
      </c>
      <c r="C2" s="2" t="n">
        <v>2017</v>
      </c>
      <c r="D2" s="2" t="inlineStr">
        <is>
          <t>Adoption of principles, rules and guidelines to increase the responsibility of producers and importers of packaging in order to safeguard the environment and public health, in the context of sustainable development (Lexology; Reg. Art. 2).</t>
        </is>
      </c>
      <c r="E2" s="2" t="n">
        <v>0</v>
      </c>
      <c r="F2" s="2" t="inlineStr"/>
      <c r="G2" s="3" t="n">
        <v>0.75</v>
      </c>
      <c r="H2" s="2" t="inlineStr">
        <is>
          <t>Executive decree (Decreto n.º 79/2017) approved by the Council of Ministers on 21 November 2017, published 28 December 2017, entered into force 29 December 2017 (Lexology). Sub-legislative EPR instrument under Lei 20/97 Arts. 10 and 33.</t>
        </is>
      </c>
      <c r="I2" s="3" t="n">
        <v>0.75</v>
      </c>
      <c r="J2" s="2" t="inlineStr">
        <is>
          <t>packaging, plastics, industry, retail, import, municipalities, waste management, recycling, chemicals, finance</t>
        </is>
      </c>
      <c r="K2" s="3" t="n">
        <v>0.75</v>
      </c>
      <c r="L2" s="2" t="inlineStr">
        <is>
          <t>production, consumption, recycling, disposal</t>
        </is>
      </c>
      <c r="M2" s="3" t="n">
        <v>1</v>
      </c>
      <c r="N2"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2" s="3">
        <f>AVERAGE(G2,I2,K2,M2,P2)</f>
        <v/>
      </c>
      <c r="P2" s="3" t="n">
        <v>1</v>
      </c>
      <c r="Q2" s="2" t="inlineStr">
        <is>
          <t>Waste management</t>
        </is>
      </c>
      <c r="R2" s="2" t="inlineStr">
        <is>
          <t>Art. 4(f): Waste hierarchy principle — management must follow priority order: prevention and reduction, reuse, recycling, other recovery, then disposal; using best available economically sustainable technologies to prolong material life cycles.</t>
        </is>
      </c>
      <c r="S2" s="3" t="n">
        <v>1</v>
      </c>
      <c r="T2" s="3" t="n">
        <v>0.5</v>
      </c>
      <c r="U2" s="2" t="inlineStr">
        <is>
          <t>'a gestão de resíduos sólidos urbanos deve respeitar a seguinte ordem de prioridades — prevenção e redução, reutilização, reciclagem, outras formas de valorização e eliminação.' Binding hierarchy in Regulation (+0.25). MTA monitors compliance (Art. 5). Limited evidence of systematic hierarchy application for plastic packaging (IUCN 2022: ~1% packaging recycled).</t>
        </is>
      </c>
      <c r="V2" s="3">
        <f>AVERAGE(P2,T2)</f>
        <v/>
      </c>
      <c r="W2" s="2" t="inlineStr">
        <is>
          <t>Lexology: scope covers any packaging 'regardless of the materials used' plus collectable packaging waste. Annex I includes all plastic types including polystyrene foam.</t>
        </is>
      </c>
    </row>
    <row r="3">
      <c r="A3" s="2" t="inlineStr">
        <is>
          <t>Regulamento sobre a Responsabilidade Alargada dos Produtores e Importadores de Embalagens (Decreto n.º 79/2017, de 28 de Dezembro)</t>
        </is>
      </c>
      <c r="B3" s="2" t="inlineStr">
        <is>
          <t>https://www.lexology.com/library/detail.aspx?g=bc88751e-ed7d-4f3f-972c-158b0f8fbbdf</t>
        </is>
      </c>
      <c r="C3" s="2" t="n">
        <v>2017</v>
      </c>
      <c r="D3" s="2" t="inlineStr">
        <is>
          <t>Adoption of principles, rules and guidelines to increase the responsibility of producers and importers of packaging in order to safeguard the environment and public health, in the context of sustainable development (Lexology; Reg. Art. 2).</t>
        </is>
      </c>
      <c r="E3" s="2" t="n">
        <v>0</v>
      </c>
      <c r="F3" s="2" t="inlineStr"/>
      <c r="G3" s="3" t="n">
        <v>0.75</v>
      </c>
      <c r="H3" s="2" t="inlineStr">
        <is>
          <t>Executive decree (Decreto n.º 79/2017) approved by the Council of Ministers on 21 November 2017, published 28 December 2017, entered into force 29 December 2017 (Lexology). Sub-legislative EPR instrument under Lei 20/97 Arts. 10 and 33.</t>
        </is>
      </c>
      <c r="I3" s="3" t="n">
        <v>0.75</v>
      </c>
      <c r="J3" s="2" t="inlineStr">
        <is>
          <t>packaging, plastics, industry, retail, import, municipalities, waste management, recycling, chemicals, finance</t>
        </is>
      </c>
      <c r="K3" s="3" t="n">
        <v>0.75</v>
      </c>
      <c r="L3" s="2" t="inlineStr">
        <is>
          <t>production, consumption, recycling, disposal</t>
        </is>
      </c>
      <c r="M3" s="3" t="n">
        <v>1</v>
      </c>
      <c r="N3"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3" s="3">
        <f>AVERAGE(G3,I3,K3,M3,P3)</f>
        <v/>
      </c>
      <c r="P3" s="3" t="n">
        <v>1</v>
      </c>
      <c r="Q3" s="2" t="inlineStr">
        <is>
          <t>Production</t>
        </is>
      </c>
      <c r="R3" s="2" t="inlineStr">
        <is>
          <t>Art. 4(d): Prevention and eco-design principle — all actors in the packaging life cycle must adopt ecological design and sustainable consumption practices appropriate to legal and technical norms.</t>
        </is>
      </c>
      <c r="S3" s="3" t="n">
        <v>1</v>
      </c>
      <c r="T3" s="3" t="n">
        <v>0.25</v>
      </c>
      <c r="U3" s="2" t="inlineStr">
        <is>
          <t>'adoptando as práticas de desenho ecológico e de consumo sustentável mais adequadas.' Principle stated (+0.25 authority via Art. 5 MTA). No quantified eco-design targets or specific enforcement beyond Art. 17 normalisation.</t>
        </is>
      </c>
      <c r="V3" s="3">
        <f>AVERAGE(P3,T3)</f>
        <v/>
      </c>
      <c r="W3" s="2" t="inlineStr">
        <is>
          <t>Regulatory principle instrument; complements Art. 17 material standards.</t>
        </is>
      </c>
    </row>
    <row r="4">
      <c r="A4" s="2" t="inlineStr">
        <is>
          <t>Regulamento sobre a Responsabilidade Alargada dos Produtores e Importadores de Embalagens (Decreto n.º 79/2017, de 28 de Dezembro)</t>
        </is>
      </c>
      <c r="B4" s="2" t="inlineStr">
        <is>
          <t>https://www.lexology.com/library/detail.aspx?g=bc88751e-ed7d-4f3f-972c-158b0f8fbbdf</t>
        </is>
      </c>
      <c r="C4" s="2" t="n">
        <v>2017</v>
      </c>
      <c r="D4" s="2" t="inlineStr">
        <is>
          <t>Adoption of principles, rules and guidelines to increase the responsibility of producers and importers of packaging in order to safeguard the environment and public health, in the context of sustainable development (Lexology; Reg. Art. 2).</t>
        </is>
      </c>
      <c r="E4" s="2" t="n">
        <v>0</v>
      </c>
      <c r="F4" s="2" t="inlineStr"/>
      <c r="G4" s="3" t="n">
        <v>0.75</v>
      </c>
      <c r="H4" s="2" t="inlineStr">
        <is>
          <t>Executive decree (Decreto n.º 79/2017) approved by the Council of Ministers on 21 November 2017, published 28 December 2017, entered into force 29 December 2017 (Lexology). Sub-legislative EPR instrument under Lei 20/97 Arts. 10 and 33.</t>
        </is>
      </c>
      <c r="I4" s="3" t="n">
        <v>0.75</v>
      </c>
      <c r="J4" s="2" t="inlineStr">
        <is>
          <t>packaging, plastics, industry, retail, import, municipalities, waste management, recycling, chemicals, finance</t>
        </is>
      </c>
      <c r="K4" s="3" t="n">
        <v>0.75</v>
      </c>
      <c r="L4" s="2" t="inlineStr">
        <is>
          <t>production, consumption, recycling, disposal</t>
        </is>
      </c>
      <c r="M4" s="3" t="n">
        <v>1</v>
      </c>
      <c r="N4"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4" s="3">
        <f>AVERAGE(G4,I4,K4,M4,P4)</f>
        <v/>
      </c>
      <c r="P4" s="3" t="n">
        <v>0.2</v>
      </c>
      <c r="Q4" s="2" t="inlineStr">
        <is>
          <t>Waste management</t>
        </is>
      </c>
      <c r="R4" s="2" t="inlineStr">
        <is>
          <t>Art. 5: Environment Ministry drafts/discloses rules, supervises and imposes sanctions; Industry and Commerce Ministry sets import/production standards; Finance Ministry collects fees and fines and supervises packaging rules at customs clearance (Lexology).</t>
        </is>
      </c>
      <c r="S4" s="3" t="n">
        <v>1</v>
      </c>
      <c r="T4" s="3" t="n">
        <v>0.5</v>
      </c>
      <c r="U4" s="2" t="inlineStr">
        <is>
          <t>Lexology confirms Art. 5 ministry competencies for Environment (rules, supervision, sanctions), Industry/Commerce (standards), Finance (fee/fine collection, customs). Multi-ministry coordination (+0.25). Africa RISE/Imani 2022–2025 supported TAE diploma and COMAGE operationalisation (+0.25).</t>
        </is>
      </c>
      <c r="V4" s="3">
        <f>AVERAGE(P4,T4)</f>
        <v/>
      </c>
      <c r="W4" s="2" t="inlineStr">
        <is>
          <t>Lexology: effectiveness depends on operation of entities in extended responsibility framework. Decreto Art. 2 assigns MTA, MIC, MEF implementation.</t>
        </is>
      </c>
    </row>
    <row r="5">
      <c r="A5" s="2" t="inlineStr">
        <is>
          <t>Regulamento sobre a Responsabilidade Alargada dos Produtores e Importadores de Embalagens (Decreto n.º 79/2017, de 28 de Dezembro)</t>
        </is>
      </c>
      <c r="B5" s="2" t="inlineStr">
        <is>
          <t>https://www.lexology.com/library/detail.aspx?g=bc88751e-ed7d-4f3f-972c-158b0f8fbbdf</t>
        </is>
      </c>
      <c r="C5" s="2" t="n">
        <v>2017</v>
      </c>
      <c r="D5" s="2" t="inlineStr">
        <is>
          <t>Adoption of principles, rules and guidelines to increase the responsibility of producers and importers of packaging in order to safeguard the environment and public health, in the context of sustainable development (Lexology; Reg. Art. 2).</t>
        </is>
      </c>
      <c r="E5" s="2" t="n">
        <v>0</v>
      </c>
      <c r="F5" s="2" t="inlineStr"/>
      <c r="G5" s="3" t="n">
        <v>0.75</v>
      </c>
      <c r="H5" s="2" t="inlineStr">
        <is>
          <t>Executive decree (Decreto n.º 79/2017) approved by the Council of Ministers on 21 November 2017, published 28 December 2017, entered into force 29 December 2017 (Lexology). Sub-legislative EPR instrument under Lei 20/97 Arts. 10 and 33.</t>
        </is>
      </c>
      <c r="I5" s="3" t="n">
        <v>0.75</v>
      </c>
      <c r="J5" s="2" t="inlineStr">
        <is>
          <t>packaging, plastics, industry, retail, import, municipalities, waste management, recycling, chemicals, finance</t>
        </is>
      </c>
      <c r="K5" s="3" t="n">
        <v>0.75</v>
      </c>
      <c r="L5" s="2" t="inlineStr">
        <is>
          <t>production, consumption, recycling, disposal</t>
        </is>
      </c>
      <c r="M5" s="3" t="n">
        <v>1</v>
      </c>
      <c r="N5"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5" s="3">
        <f>AVERAGE(G5,I5,K5,M5,P5)</f>
        <v/>
      </c>
      <c r="P5" s="3" t="n">
        <v>0.2</v>
      </c>
      <c r="Q5" s="2" t="inlineStr">
        <is>
          <t>Waste management</t>
        </is>
      </c>
      <c r="R5" s="2" t="inlineStr">
        <is>
          <t>Art. 6: Municipal councils and local State bodies responsible for urban solid waste management in their jurisdictions; may receive financial counterparties from approved packaging waste management projects and may contract licensed public/private operators.</t>
        </is>
      </c>
      <c r="S5" s="3" t="n">
        <v>1</v>
      </c>
      <c r="T5" s="3" t="n">
        <v>0.25</v>
      </c>
      <c r="U5" s="2" t="inlineStr">
        <is>
          <t>'As Autarquias e os Órgãos Locais do Estado são responsáveis pela gestão de resíduos sólidos urbanos.' Municipal authority designated (+0.25). Project-based counterparties require submission and approval — discretionary, not automatic funding.</t>
        </is>
      </c>
      <c r="V5" s="3">
        <f>AVERAGE(P5,T5)</f>
        <v/>
      </c>
      <c r="W5" s="2" t="inlineStr">
        <is>
          <t>Links EPR revenues (Art. 24 FNDS) to local waste infrastructure.</t>
        </is>
      </c>
    </row>
    <row r="6">
      <c r="A6" s="2" t="inlineStr">
        <is>
          <t>Regulamento sobre a Responsabilidade Alargada dos Produtores e Importadores de Embalagens (Decreto n.º 79/2017, de 28 de Dezembro)</t>
        </is>
      </c>
      <c r="B6" s="2" t="inlineStr">
        <is>
          <t>https://www.lexology.com/library/detail.aspx?g=bc88751e-ed7d-4f3f-972c-158b0f8fbbdf</t>
        </is>
      </c>
      <c r="C6" s="2" t="n">
        <v>2017</v>
      </c>
      <c r="D6" s="2" t="inlineStr">
        <is>
          <t>Adoption of principles, rules and guidelines to increase the responsibility of producers and importers of packaging in order to safeguard the environment and public health, in the context of sustainable development (Lexology; Reg. Art. 2).</t>
        </is>
      </c>
      <c r="E6" s="2" t="n">
        <v>0</v>
      </c>
      <c r="F6" s="2" t="inlineStr"/>
      <c r="G6" s="3" t="n">
        <v>0.75</v>
      </c>
      <c r="H6" s="2" t="inlineStr">
        <is>
          <t>Executive decree (Decreto n.º 79/2017) approved by the Council of Ministers on 21 November 2017, published 28 December 2017, entered into force 29 December 2017 (Lexology). Sub-legislative EPR instrument under Lei 20/97 Arts. 10 and 33.</t>
        </is>
      </c>
      <c r="I6" s="3" t="n">
        <v>0.75</v>
      </c>
      <c r="J6" s="2" t="inlineStr">
        <is>
          <t>packaging, plastics, industry, retail, import, municipalities, waste management, recycling, chemicals, finance</t>
        </is>
      </c>
      <c r="K6" s="3" t="n">
        <v>0.75</v>
      </c>
      <c r="L6" s="2" t="inlineStr">
        <is>
          <t>production, consumption, recycling, disposal</t>
        </is>
      </c>
      <c r="M6" s="3" t="n">
        <v>1</v>
      </c>
      <c r="N6"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6" s="3">
        <f>AVERAGE(G6,I6,K6,M6,P6)</f>
        <v/>
      </c>
      <c r="P6" s="3" t="n">
        <v>1</v>
      </c>
      <c r="Q6" s="2" t="inlineStr">
        <is>
          <t>Production</t>
        </is>
      </c>
      <c r="R6" s="2" t="inlineStr">
        <is>
          <t>Art. 7: Producers and importers jointly responsible for packaging and packaging-waste management; must pay packaging management fees; must ensure return and recovery of packaging waste directly or through recovery organisations (Lexology).</t>
        </is>
      </c>
      <c r="S6" s="3" t="n">
        <v>1</v>
      </c>
      <c r="T6" s="3" t="n">
        <v>0.5</v>
      </c>
      <c r="U6" s="2" t="inlineStr">
        <is>
          <t>Lexology: producers/importers 'jointly responsible' for management, fee payment, and return/recovery (+0.25 each obligation). TAE fee system operationalising via DM 26/2025 (+0.25). Lexology anticipates 'considerable impact on companies' — take-back/recovery weakly implemented for plastics (IUCN 2022).</t>
        </is>
      </c>
      <c r="V6" s="3">
        <f>AVERAGE(P6,T6)</f>
        <v/>
      </c>
      <c r="W6" s="2" t="inlineStr">
        <is>
          <t>Core EPR obligation per Lexology. Scope includes all packaging materials; Annex I item 1.2 covers all plastic types including polystyrene foam.</t>
        </is>
      </c>
    </row>
    <row r="7">
      <c r="A7" s="2" t="inlineStr">
        <is>
          <t>Regulamento sobre a Responsabilidade Alargada dos Produtores e Importadores de Embalagens (Decreto n.º 79/2017, de 28 de Dezembro)</t>
        </is>
      </c>
      <c r="B7" s="2" t="inlineStr">
        <is>
          <t>https://www.lexology.com/library/detail.aspx?g=bc88751e-ed7d-4f3f-972c-158b0f8fbbdf</t>
        </is>
      </c>
      <c r="C7" s="2" t="n">
        <v>2017</v>
      </c>
      <c r="D7" s="2" t="inlineStr">
        <is>
          <t>Adoption of principles, rules and guidelines to increase the responsibility of producers and importers of packaging in order to safeguard the environment and public health, in the context of sustainable development (Lexology; Reg. Art. 2).</t>
        </is>
      </c>
      <c r="E7" s="2" t="n">
        <v>0</v>
      </c>
      <c r="F7" s="2" t="inlineStr"/>
      <c r="G7" s="3" t="n">
        <v>0.75</v>
      </c>
      <c r="H7" s="2" t="inlineStr">
        <is>
          <t>Executive decree (Decreto n.º 79/2017) approved by the Council of Ministers on 21 November 2017, published 28 December 2017, entered into force 29 December 2017 (Lexology). Sub-legislative EPR instrument under Lei 20/97 Arts. 10 and 33.</t>
        </is>
      </c>
      <c r="I7" s="3" t="n">
        <v>0.75</v>
      </c>
      <c r="J7" s="2" t="inlineStr">
        <is>
          <t>packaging, plastics, industry, retail, import, municipalities, waste management, recycling, chemicals, finance</t>
        </is>
      </c>
      <c r="K7" s="3" t="n">
        <v>0.75</v>
      </c>
      <c r="L7" s="2" t="inlineStr">
        <is>
          <t>production, consumption, recycling, disposal</t>
        </is>
      </c>
      <c r="M7" s="3" t="n">
        <v>1</v>
      </c>
      <c r="N7"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7" s="3">
        <f>AVERAGE(G7,I7,K7,M7,P7)</f>
        <v/>
      </c>
      <c r="P7" s="3" t="n">
        <v>1</v>
      </c>
      <c r="Q7" s="2" t="inlineStr">
        <is>
          <t>Recycling</t>
        </is>
      </c>
      <c r="R7" s="2" t="inlineStr">
        <is>
          <t>Art. 8: Waste operators must ensure environmentally safe, sustainable and rational packaging management (reduce, recycle, reuse; sorting, collection, handling, transport, storage and/or disposal); protect health and environment; promote community education; and register with Environment Ministry (Lexology).</t>
        </is>
      </c>
      <c r="S7" s="3" t="n">
        <v>1</v>
      </c>
      <c r="T7" s="3" t="n">
        <v>0.25</v>
      </c>
      <c r="U7" s="2" t="inlineStr">
        <is>
          <t>Lexology lists four operator duties: safe management, health/environment protection, community education, Environment Ministry registration. Registration (+0.25). Limited evidence of comprehensive operator registration for plastic packaging streams.</t>
        </is>
      </c>
      <c r="V7" s="3">
        <f>AVERAGE(P7,T7)</f>
        <v/>
      </c>
      <c r="W7" s="2" t="inlineStr">
        <is>
          <t>Lexology attributes separate responsibilities to waste operators alongside producers.</t>
        </is>
      </c>
    </row>
    <row r="8">
      <c r="A8" s="2" t="inlineStr">
        <is>
          <t>Regulamento sobre a Responsabilidade Alargada dos Produtores e Importadores de Embalagens (Decreto n.º 79/2017, de 28 de Dezembro)</t>
        </is>
      </c>
      <c r="B8" s="2" t="inlineStr">
        <is>
          <t>https://www.lexology.com/library/detail.aspx?g=bc88751e-ed7d-4f3f-972c-158b0f8fbbdf</t>
        </is>
      </c>
      <c r="C8" s="2" t="n">
        <v>2017</v>
      </c>
      <c r="D8" s="2" t="inlineStr">
        <is>
          <t>Adoption of principles, rules and guidelines to increase the responsibility of producers and importers of packaging in order to safeguard the environment and public health, in the context of sustainable development (Lexology; Reg. Art. 2).</t>
        </is>
      </c>
      <c r="E8" s="2" t="n">
        <v>0</v>
      </c>
      <c r="F8" s="2" t="inlineStr"/>
      <c r="G8" s="3" t="n">
        <v>0.75</v>
      </c>
      <c r="H8" s="2" t="inlineStr">
        <is>
          <t>Executive decree (Decreto n.º 79/2017) approved by the Council of Ministers on 21 November 2017, published 28 December 2017, entered into force 29 December 2017 (Lexology). Sub-legislative EPR instrument under Lei 20/97 Arts. 10 and 33.</t>
        </is>
      </c>
      <c r="I8" s="3" t="n">
        <v>0.75</v>
      </c>
      <c r="J8" s="2" t="inlineStr">
        <is>
          <t>packaging, plastics, industry, retail, import, municipalities, waste management, recycling, chemicals, finance</t>
        </is>
      </c>
      <c r="K8" s="3" t="n">
        <v>0.75</v>
      </c>
      <c r="L8" s="2" t="inlineStr">
        <is>
          <t>production, consumption, recycling, disposal</t>
        </is>
      </c>
      <c r="M8" s="3" t="n">
        <v>1</v>
      </c>
      <c r="N8"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8" s="3">
        <f>AVERAGE(G8,I8,K8,M8,P8)</f>
        <v/>
      </c>
      <c r="P8" s="3" t="n">
        <v>1</v>
      </c>
      <c r="Q8" s="2" t="inlineStr">
        <is>
          <t>Recycling</t>
        </is>
      </c>
      <c r="R8" s="2" t="inlineStr">
        <is>
          <t>Art. 9–10: Three combined EPR systems — Internal Management (direct/indirect), Packaging Environmental Fee (TAE), and Packaging Normalisation — may be applied jointly for optimal packaging management.</t>
        </is>
      </c>
      <c r="S8" s="3" t="n">
        <v>1</v>
      </c>
      <c r="T8" s="3" t="n">
        <v>0.5</v>
      </c>
      <c r="U8" s="2" t="inlineStr">
        <is>
          <t>Lexology: producers/importers assume responsibility through Internal Management, Packaging Environmental Fee, and Packaging Standardisation systems. Framework operative (+0.25). Lexology observations: companies must manage waste through all three systems; effectiveness depends on complementary legislation and entity operation.</t>
        </is>
      </c>
      <c r="V8" s="3">
        <f>AVERAGE(P8,T8)</f>
        <v/>
      </c>
      <c r="W8" s="2" t="inlineStr">
        <is>
          <t>Overarching EPR architecture per Lexology. One row for Art. 9 system design.</t>
        </is>
      </c>
    </row>
    <row r="9">
      <c r="A9" s="2" t="inlineStr">
        <is>
          <t>Regulamento sobre a Responsabilidade Alargada dos Produtores e Importadores de Embalagens (Decreto n.º 79/2017, de 28 de Dezembro)</t>
        </is>
      </c>
      <c r="B9" s="2" t="inlineStr">
        <is>
          <t>https://www.lexology.com/library/detail.aspx?g=bc88751e-ed7d-4f3f-972c-158b0f8fbbdf</t>
        </is>
      </c>
      <c r="C9" s="2" t="n">
        <v>2017</v>
      </c>
      <c r="D9" s="2" t="inlineStr">
        <is>
          <t>Adoption of principles, rules and guidelines to increase the responsibility of producers and importers of packaging in order to safeguard the environment and public health, in the context of sustainable development (Lexology; Reg. Art. 2).</t>
        </is>
      </c>
      <c r="E9" s="2" t="n">
        <v>0</v>
      </c>
      <c r="F9" s="2" t="inlineStr"/>
      <c r="G9" s="3" t="n">
        <v>0.75</v>
      </c>
      <c r="H9" s="2" t="inlineStr">
        <is>
          <t>Executive decree (Decreto n.º 79/2017) approved by the Council of Ministers on 21 November 2017, published 28 December 2017, entered into force 29 December 2017 (Lexology). Sub-legislative EPR instrument under Lei 20/97 Arts. 10 and 33.</t>
        </is>
      </c>
      <c r="I9" s="3" t="n">
        <v>0.75</v>
      </c>
      <c r="J9" s="2" t="inlineStr">
        <is>
          <t>packaging, plastics, industry, retail, import, municipalities, waste management, recycling, chemicals, finance</t>
        </is>
      </c>
      <c r="K9" s="3" t="n">
        <v>0.75</v>
      </c>
      <c r="L9" s="2" t="inlineStr">
        <is>
          <t>production, consumption, recycling, disposal</t>
        </is>
      </c>
      <c r="M9" s="3" t="n">
        <v>1</v>
      </c>
      <c r="N9"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9" s="3">
        <f>AVERAGE(G9,I9,K9,M9,P9)</f>
        <v/>
      </c>
      <c r="P9" s="3" t="n">
        <v>1</v>
      </c>
      <c r="Q9" s="2" t="inlineStr">
        <is>
          <t>Recycling</t>
        </is>
      </c>
      <c r="R9" s="2" t="inlineStr">
        <is>
          <t>Art. 11: Direct Internal Management System — producer/importer may opt individually or jointly for reduction, re-use, recycling, organic recovery, energetic recovery or incineration; consumer pays deposit at purchase reimbursed on return of used packaging (Lexology).</t>
        </is>
      </c>
      <c r="S9" s="3" t="n">
        <v>1</v>
      </c>
      <c r="T9" s="3" t="n">
        <v>0.25</v>
      </c>
      <c r="U9" s="2" t="inlineStr">
        <is>
          <t>Lexology: deposit 'reimbursed once the used packaging is returned.' Mechanism defined (+0.25). Adopted at producer initiative — no national DRS evidenced operational for plastic packaging (IUCN recommends Maputo pilot).</t>
        </is>
      </c>
      <c r="V9" s="3">
        <f>AVERAGE(P9,T9)</f>
        <v/>
      </c>
      <c r="W9" s="2" t="inlineStr">
        <is>
          <t>Lexology Internal Management System (direct form). Art. 20(2)(a): refusal to accept used packaging or refund deposit — 15 minimum wages.</t>
        </is>
      </c>
    </row>
    <row r="10">
      <c r="A10" s="2" t="inlineStr">
        <is>
          <t>Regulamento sobre a Responsabilidade Alargada dos Produtores e Importadores de Embalagens (Decreto n.º 79/2017, de 28 de Dezembro)</t>
        </is>
      </c>
      <c r="B10" s="2" t="inlineStr">
        <is>
          <t>https://www.lexology.com/library/detail.aspx?g=bc88751e-ed7d-4f3f-972c-158b0f8fbbdf</t>
        </is>
      </c>
      <c r="C10" s="2" t="n">
        <v>2017</v>
      </c>
      <c r="D10" s="2" t="inlineStr">
        <is>
          <t>Adoption of principles, rules and guidelines to increase the responsibility of producers and importers of packaging in order to safeguard the environment and public health, in the context of sustainable development (Lexology; Reg. Art. 2).</t>
        </is>
      </c>
      <c r="E10" s="2" t="n">
        <v>0</v>
      </c>
      <c r="F10" s="2" t="inlineStr"/>
      <c r="G10" s="3" t="n">
        <v>0.75</v>
      </c>
      <c r="H10" s="2" t="inlineStr">
        <is>
          <t>Executive decree (Decreto n.º 79/2017) approved by the Council of Ministers on 21 November 2017, published 28 December 2017, entered into force 29 December 2017 (Lexology). Sub-legislative EPR instrument under Lei 20/97 Arts. 10 and 33.</t>
        </is>
      </c>
      <c r="I10" s="3" t="n">
        <v>0.75</v>
      </c>
      <c r="J10" s="2" t="inlineStr">
        <is>
          <t>packaging, plastics, industry, retail, import, municipalities, waste management, recycling, chemicals, finance</t>
        </is>
      </c>
      <c r="K10" s="3" t="n">
        <v>0.75</v>
      </c>
      <c r="L10" s="2" t="inlineStr">
        <is>
          <t>production, consumption, recycling, disposal</t>
        </is>
      </c>
      <c r="M10" s="3" t="n">
        <v>1</v>
      </c>
      <c r="N10"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10" s="3">
        <f>AVERAGE(G10,I10,K10,M10,P10)</f>
        <v/>
      </c>
      <c r="P10" s="3" t="n">
        <v>1</v>
      </c>
      <c r="Q10" s="2" t="inlineStr">
        <is>
          <t>Recycling</t>
        </is>
      </c>
      <c r="R10" s="2" t="inlineStr">
        <is>
          <t>Art. 12: Indirect Internal Management System — producer/importer responsibility for packaging treatment transferred contractually to licensed entity; producer bears financial costs of selective collection, sorting, take-back and recovery; responsibility ends upon certified operator declaration of assumption (Lexology).</t>
        </is>
      </c>
      <c r="S10" s="3" t="n">
        <v>1</v>
      </c>
      <c r="T10" s="3" t="n">
        <v>0.25</v>
      </c>
      <c r="U10" s="2" t="inlineStr">
        <is>
          <t>Lexology: contractual transfer to licensed operator; producer bears collection/sorting/take-back/recovery costs (+0.25). Responsibility ends on operator assumption declaration (+0.25 framework). Not yet operational at scale (IUCN 2022).</t>
        </is>
      </c>
      <c r="V10" s="3">
        <f>AVERAGE(P10,T10)</f>
        <v/>
      </c>
      <c r="W10" s="2" t="inlineStr">
        <is>
          <t>Lexology Indirect Internal Management System; PRO-type contractual EPR model.</t>
        </is>
      </c>
    </row>
    <row r="11">
      <c r="A11" s="2" t="inlineStr">
        <is>
          <t>Regulamento sobre a Responsabilidade Alargada dos Produtores e Importadores de Embalagens (Decreto n.º 79/2017, de 28 de Dezembro)</t>
        </is>
      </c>
      <c r="B11" s="2" t="inlineStr">
        <is>
          <t>https://www.lexology.com/library/detail.aspx?g=bc88751e-ed7d-4f3f-972c-158b0f8fbbdf</t>
        </is>
      </c>
      <c r="C11" s="2" t="n">
        <v>2017</v>
      </c>
      <c r="D11" s="2" t="inlineStr">
        <is>
          <t>Adoption of principles, rules and guidelines to increase the responsibility of producers and importers of packaging in order to safeguard the environment and public health, in the context of sustainable development (Lexology; Reg. Art. 2).</t>
        </is>
      </c>
      <c r="E11" s="2" t="n">
        <v>0</v>
      </c>
      <c r="F11" s="2" t="inlineStr"/>
      <c r="G11" s="3" t="n">
        <v>0.75</v>
      </c>
      <c r="H11" s="2" t="inlineStr">
        <is>
          <t>Executive decree (Decreto n.º 79/2017) approved by the Council of Ministers on 21 November 2017, published 28 December 2017, entered into force 29 December 2017 (Lexology). Sub-legislative EPR instrument under Lei 20/97 Arts. 10 and 33.</t>
        </is>
      </c>
      <c r="I11" s="3" t="n">
        <v>0.75</v>
      </c>
      <c r="J11" s="2" t="inlineStr">
        <is>
          <t>packaging, plastics, industry, retail, import, municipalities, waste management, recycling, chemicals, finance</t>
        </is>
      </c>
      <c r="K11" s="3" t="n">
        <v>0.75</v>
      </c>
      <c r="L11" s="2" t="inlineStr">
        <is>
          <t>production, consumption, recycling, disposal</t>
        </is>
      </c>
      <c r="M11" s="3" t="n">
        <v>1</v>
      </c>
      <c r="N11"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11" s="3">
        <f>AVERAGE(G11,I11,K11,M11,P11)</f>
        <v/>
      </c>
      <c r="P11" s="3" t="n">
        <v>0.6</v>
      </c>
      <c r="Q11" s="2" t="inlineStr">
        <is>
          <t>Recycling</t>
        </is>
      </c>
      <c r="R11" s="2" t="inlineStr">
        <is>
          <t>Art. 13: Packaging Environmental Fee (TAE / Taxa Ambiental sobre a Embalagem) payable by all packaging producers and importers; fee varies by environmental/public-health impact and waste-treatment complexity. AT charges imports; domestic producers pay annually on production report (Lexology).</t>
        </is>
      </c>
      <c r="S11" s="3" t="n">
        <v>1</v>
      </c>
      <c r="T11" s="3" t="n">
        <v>0.75</v>
      </c>
      <c r="U11" s="2" t="inlineStr">
        <is>
          <t>Lexology: TAE created Art. 13; AT collects imported packaging; annual production-report basis for domestic producers (+0.25 each). DM 26/2025 defines formula per Art. 15 (Lexology flagged need for complementary legislation) (+0.25). Levied on plastic packaging; payment from 2026; up to 90% reduction with internal management system.</t>
        </is>
      </c>
      <c r="V11" s="3">
        <f>AVERAGE(P11,T11)</f>
        <v/>
      </c>
      <c r="W11" s="2" t="inlineStr">
        <is>
          <t>Lexology Packaging Environmental Fee System. Complementary diploma DM 26/2025 (March 2025) addresses Lexology observation on regulatory legislation dependency.</t>
        </is>
      </c>
    </row>
    <row r="12">
      <c r="A12" s="2" t="inlineStr">
        <is>
          <t>Regulamento sobre a Responsabilidade Alargada dos Produtores e Importadores de Embalagens (Decreto n.º 79/2017, de 28 de Dezembro)</t>
        </is>
      </c>
      <c r="B12" s="2" t="inlineStr">
        <is>
          <t>https://www.lexology.com/library/detail.aspx?g=bc88751e-ed7d-4f3f-972c-158b0f8fbbdf</t>
        </is>
      </c>
      <c r="C12" s="2" t="n">
        <v>2017</v>
      </c>
      <c r="D12" s="2" t="inlineStr">
        <is>
          <t>Adoption of principles, rules and guidelines to increase the responsibility of producers and importers of packaging in order to safeguard the environment and public health, in the context of sustainable development (Lexology; Reg. Art. 2).</t>
        </is>
      </c>
      <c r="E12" s="2" t="n">
        <v>0</v>
      </c>
      <c r="F12" s="2" t="inlineStr"/>
      <c r="G12" s="3" t="n">
        <v>0.75</v>
      </c>
      <c r="H12" s="2" t="inlineStr">
        <is>
          <t>Executive decree (Decreto n.º 79/2017) approved by the Council of Ministers on 21 November 2017, published 28 December 2017, entered into force 29 December 2017 (Lexology). Sub-legislative EPR instrument under Lei 20/97 Arts. 10 and 33.</t>
        </is>
      </c>
      <c r="I12" s="3" t="n">
        <v>0.75</v>
      </c>
      <c r="J12" s="2" t="inlineStr">
        <is>
          <t>packaging, plastics, industry, retail, import, municipalities, waste management, recycling, chemicals, finance</t>
        </is>
      </c>
      <c r="K12" s="3" t="n">
        <v>0.75</v>
      </c>
      <c r="L12" s="2" t="inlineStr">
        <is>
          <t>production, consumption, recycling, disposal</t>
        </is>
      </c>
      <c r="M12" s="3" t="n">
        <v>1</v>
      </c>
      <c r="N12"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12" s="3">
        <f>AVERAGE(G12,I12,K12,M12,P12)</f>
        <v/>
      </c>
      <c r="P12" s="3" t="n">
        <v>0.6</v>
      </c>
      <c r="Q12" s="2" t="inlineStr">
        <is>
          <t>Production</t>
        </is>
      </c>
      <c r="R12" s="2" t="inlineStr">
        <is>
          <t>Art. 15–16: Ministerial diploma (DM 26/2025) defines TAE formula, procedures, packaging categories and exemptions; AT collects TAE on imported packaging at customs clearance; domestic producers pay annually based on production reports.</t>
        </is>
      </c>
      <c r="S12" s="3" t="n">
        <v>1</v>
      </c>
      <c r="T12" s="3" t="n">
        <v>0.75</v>
      </c>
      <c r="U12" s="2" t="inlineStr">
        <is>
          <t>'Por Diploma Ministerial conjunto... são definidas a fórmula de cálculo.' DM 26/2025 joint MTA/MEF/MIC adopted (+0.25). Formula based on waste treatment cost and material/weight impact factor (+0.25). 180-day entry into force; e-TAE platform referenced in news reports (+0.25 monitoring). Non-payment fined at 15 min. wages (Art. 20(2)(c)).</t>
        </is>
      </c>
      <c r="V12" s="3">
        <f>AVERAGE(P12,T12)</f>
        <v/>
      </c>
      <c r="W12" s="2" t="inlineStr">
        <is>
          <t>Enabling Art. 15 now exercised; distinguishes diploma mechanics from Art. 13 creation.</t>
        </is>
      </c>
    </row>
    <row r="13">
      <c r="A13" s="2" t="inlineStr">
        <is>
          <t>Regulamento sobre a Responsabilidade Alargada dos Produtores e Importadores de Embalagens (Decreto n.º 79/2017, de 28 de Dezembro)</t>
        </is>
      </c>
      <c r="B13" s="2" t="inlineStr">
        <is>
          <t>https://www.lexology.com/library/detail.aspx?g=bc88751e-ed7d-4f3f-972c-158b0f8fbbdf</t>
        </is>
      </c>
      <c r="C13" s="2" t="n">
        <v>2017</v>
      </c>
      <c r="D13" s="2" t="inlineStr">
        <is>
          <t>Adoption of principles, rules and guidelines to increase the responsibility of producers and importers of packaging in order to safeguard the environment and public health, in the context of sustainable development (Lexology; Reg. Art. 2).</t>
        </is>
      </c>
      <c r="E13" s="2" t="n">
        <v>0</v>
      </c>
      <c r="F13" s="2" t="inlineStr"/>
      <c r="G13" s="3" t="n">
        <v>0.75</v>
      </c>
      <c r="H13" s="2" t="inlineStr">
        <is>
          <t>Executive decree (Decreto n.º 79/2017) approved by the Council of Ministers on 21 November 2017, published 28 December 2017, entered into force 29 December 2017 (Lexology). Sub-legislative EPR instrument under Lei 20/97 Arts. 10 and 33.</t>
        </is>
      </c>
      <c r="I13" s="3" t="n">
        <v>0.75</v>
      </c>
      <c r="J13" s="2" t="inlineStr">
        <is>
          <t>packaging, plastics, industry, retail, import, municipalities, waste management, recycling, chemicals, finance</t>
        </is>
      </c>
      <c r="K13" s="3" t="n">
        <v>0.75</v>
      </c>
      <c r="L13" s="2" t="inlineStr">
        <is>
          <t>production, consumption, recycling, disposal</t>
        </is>
      </c>
      <c r="M13" s="3" t="n">
        <v>1</v>
      </c>
      <c r="N13"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13" s="3">
        <f>AVERAGE(G13,I13,K13,M13,P13)</f>
        <v/>
      </c>
      <c r="P13" s="3" t="n">
        <v>1</v>
      </c>
      <c r="Q13" s="2" t="inlineStr">
        <is>
          <t>Production</t>
        </is>
      </c>
      <c r="R13" s="2" t="inlineStr">
        <is>
          <t>Art. 17: Packaging Standardisation System — packaging produced with preferably biodegradable or re-usable/recyclable/recoverable materials; producers, manufacturers, material suppliers and importers must ensure volume/weight limits, technical returnability, and recyclability (Lexology).</t>
        </is>
      </c>
      <c r="S13" s="3" t="n">
        <v>1</v>
      </c>
      <c r="T13" s="3" t="n">
        <v>0.5</v>
      </c>
      <c r="U13" s="2" t="inlineStr">
        <is>
          <t>Lexology: three standardisation requirements — volume/dimension limits, technical reusability, recyclability (+0.25). Applies to producers, manufacturers, suppliers, importers (+0.25). Art. 20(2)(d) fine 15 min. wages for non-compliant placement.</t>
        </is>
      </c>
      <c r="V13" s="3">
        <f>AVERAGE(P13,T13)</f>
        <v/>
      </c>
      <c r="W13" s="2" t="inlineStr">
        <is>
          <t>Lexology Packaging Standardisation System. Annex I item 1.2: all plastic types including polystyrene foam.</t>
        </is>
      </c>
    </row>
    <row r="14">
      <c r="A14" s="2" t="inlineStr">
        <is>
          <t>Regulamento sobre a Responsabilidade Alargada dos Produtores e Importadores de Embalagens (Decreto n.º 79/2017, de 28 de Dezembro)</t>
        </is>
      </c>
      <c r="B14" s="2" t="inlineStr">
        <is>
          <t>https://www.lexology.com/library/detail.aspx?g=bc88751e-ed7d-4f3f-972c-158b0f8fbbdf</t>
        </is>
      </c>
      <c r="C14" s="2" t="n">
        <v>2017</v>
      </c>
      <c r="D14" s="2" t="inlineStr">
        <is>
          <t>Adoption of principles, rules and guidelines to increase the responsibility of producers and importers of packaging in order to safeguard the environment and public health, in the context of sustainable development (Lexology; Reg. Art. 2).</t>
        </is>
      </c>
      <c r="E14" s="2" t="n">
        <v>0</v>
      </c>
      <c r="F14" s="2" t="inlineStr"/>
      <c r="G14" s="3" t="n">
        <v>0.75</v>
      </c>
      <c r="H14" s="2" t="inlineStr">
        <is>
          <t>Executive decree (Decreto n.º 79/2017) approved by the Council of Ministers on 21 November 2017, published 28 December 2017, entered into force 29 December 2017 (Lexology). Sub-legislative EPR instrument under Lei 20/97 Arts. 10 and 33.</t>
        </is>
      </c>
      <c r="I14" s="3" t="n">
        <v>0.75</v>
      </c>
      <c r="J14" s="2" t="inlineStr">
        <is>
          <t>packaging, plastics, industry, retail, import, municipalities, waste management, recycling, chemicals, finance</t>
        </is>
      </c>
      <c r="K14" s="3" t="n">
        <v>0.75</v>
      </c>
      <c r="L14" s="2" t="inlineStr">
        <is>
          <t>production, consumption, recycling, disposal</t>
        </is>
      </c>
      <c r="M14" s="3" t="n">
        <v>1</v>
      </c>
      <c r="N14"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14" s="3">
        <f>AVERAGE(G14,I14,K14,M14,P14)</f>
        <v/>
      </c>
      <c r="P14" s="3" t="n">
        <v>0.4</v>
      </c>
      <c r="Q14" s="2" t="inlineStr">
        <is>
          <t>Consumption</t>
        </is>
      </c>
      <c r="R14" s="2" t="inlineStr">
        <is>
          <t>Art. 18: Mandatory symbols for reusable, recyclable or recoverable packaging on packaging or label — clearly visible, legible, lasting expected packaging lifetime (Lexology: Symbol and labelling of packaging).</t>
        </is>
      </c>
      <c r="S14" s="3" t="n">
        <v>1</v>
      </c>
      <c r="T14" s="3" t="n">
        <v>0.25</v>
      </c>
      <c r="U14" s="2" t="inlineStr">
        <is>
          <t>Lexology: 'use of specific symbols is mandatory' on packaging or label, visible and legible for packaging lifetime (+0.25). Symbol technical standards depend on complementary norms not yet specified.</t>
        </is>
      </c>
      <c r="V14" s="3">
        <f>AVERAGE(P14,T14)</f>
        <v/>
      </c>
      <c r="W14" s="2" t="inlineStr">
        <is>
          <t>Lexology symbol/labelling requirement under Packaging Standardisation System.</t>
        </is>
      </c>
    </row>
    <row r="15">
      <c r="A15" s="2" t="inlineStr">
        <is>
          <t>Regulamento sobre a Responsabilidade Alargada dos Produtores e Importadores de Embalagens (Decreto n.º 79/2017, de 28 de Dezembro)</t>
        </is>
      </c>
      <c r="B15" s="2" t="inlineStr">
        <is>
          <t>https://www.lexology.com/library/detail.aspx?g=bc88751e-ed7d-4f3f-972c-158b0f8fbbdf</t>
        </is>
      </c>
      <c r="C15" s="2" t="n">
        <v>2017</v>
      </c>
      <c r="D15" s="2" t="inlineStr">
        <is>
          <t>Adoption of principles, rules and guidelines to increase the responsibility of producers and importers of packaging in order to safeguard the environment and public health, in the context of sustainable development (Lexology; Reg. Art. 2).</t>
        </is>
      </c>
      <c r="E15" s="2" t="n">
        <v>0</v>
      </c>
      <c r="F15" s="2" t="inlineStr"/>
      <c r="G15" s="3" t="n">
        <v>0.75</v>
      </c>
      <c r="H15" s="2" t="inlineStr">
        <is>
          <t>Executive decree (Decreto n.º 79/2017) approved by the Council of Ministers on 21 November 2017, published 28 December 2017, entered into force 29 December 2017 (Lexology). Sub-legislative EPR instrument under Lei 20/97 Arts. 10 and 33.</t>
        </is>
      </c>
      <c r="I15" s="3" t="n">
        <v>0.75</v>
      </c>
      <c r="J15" s="2" t="inlineStr">
        <is>
          <t>packaging, plastics, industry, retail, import, municipalities, waste management, recycling, chemicals, finance</t>
        </is>
      </c>
      <c r="K15" s="3" t="n">
        <v>0.75</v>
      </c>
      <c r="L15" s="2" t="inlineStr">
        <is>
          <t>production, consumption, recycling, disposal</t>
        </is>
      </c>
      <c r="M15" s="3" t="n">
        <v>1</v>
      </c>
      <c r="N15"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15" s="3">
        <f>AVERAGE(G15,I15,K15,M15,P15)</f>
        <v/>
      </c>
      <c r="P15" s="3" t="n">
        <v>0.2</v>
      </c>
      <c r="Q15" s="2" t="inlineStr">
        <is>
          <t>Waste management</t>
        </is>
      </c>
      <c r="R15" s="2" t="inlineStr">
        <is>
          <t>Art. 19: Environment Ministry supervises Regulation compliance; Municipal Councils and District Administrations cooperate in supervision (Lexology).</t>
        </is>
      </c>
      <c r="S15" s="3" t="n">
        <v>1</v>
      </c>
      <c r="T15" s="3" t="n">
        <v>0.5</v>
      </c>
      <c r="U15" s="2" t="inlineStr">
        <is>
          <t>Lexology: Environment Ministry 'responsible for the supervision' with municipal and district cooperation (+0.25 authority, +0.25 multi-level). Linked to Arts. 20–21 fine and ancillary sanction powers (+0.25).</t>
        </is>
      </c>
      <c r="V15" s="3">
        <f>AVERAGE(P15,T15)</f>
        <v/>
      </c>
      <c r="W15" s="2" t="inlineStr">
        <is>
          <t>Lexology supervision framework for EPR including plastic packaging.</t>
        </is>
      </c>
    </row>
    <row r="16">
      <c r="A16" s="2" t="inlineStr">
        <is>
          <t>Regulamento sobre a Responsabilidade Alargada dos Produtores e Importadores de Embalagens (Decreto n.º 79/2017, de 28 de Dezembro)</t>
        </is>
      </c>
      <c r="B16" s="2" t="inlineStr">
        <is>
          <t>https://www.lexology.com/library/detail.aspx?g=bc88751e-ed7d-4f3f-972c-158b0f8fbbdf</t>
        </is>
      </c>
      <c r="C16" s="2" t="n">
        <v>2017</v>
      </c>
      <c r="D16" s="2" t="inlineStr">
        <is>
          <t>Adoption of principles, rules and guidelines to increase the responsibility of producers and importers of packaging in order to safeguard the environment and public health, in the context of sustainable development (Lexology; Reg. Art. 2).</t>
        </is>
      </c>
      <c r="E16" s="2" t="n">
        <v>0</v>
      </c>
      <c r="F16" s="2" t="inlineStr"/>
      <c r="G16" s="3" t="n">
        <v>0.75</v>
      </c>
      <c r="H16" s="2" t="inlineStr">
        <is>
          <t>Executive decree (Decreto n.º 79/2017) approved by the Council of Ministers on 21 November 2017, published 28 December 2017, entered into force 29 December 2017 (Lexology). Sub-legislative EPR instrument under Lei 20/97 Arts. 10 and 33.</t>
        </is>
      </c>
      <c r="I16" s="3" t="n">
        <v>0.75</v>
      </c>
      <c r="J16" s="2" t="inlineStr">
        <is>
          <t>packaging, plastics, industry, retail, import, municipalities, waste management, recycling, chemicals, finance</t>
        </is>
      </c>
      <c r="K16" s="3" t="n">
        <v>0.75</v>
      </c>
      <c r="L16" s="2" t="inlineStr">
        <is>
          <t>production, consumption, recycling, disposal</t>
        </is>
      </c>
      <c r="M16" s="3" t="n">
        <v>1</v>
      </c>
      <c r="N16"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16" s="3">
        <f>AVERAGE(G16,I16,K16,M16,P16)</f>
        <v/>
      </c>
      <c r="P16" s="3" t="n">
        <v>0.6</v>
      </c>
      <c r="Q16" s="2" t="inlineStr">
        <is>
          <t>Production</t>
        </is>
      </c>
      <c r="R16" s="2" t="inlineStr">
        <is>
          <t>Art. 20–21: Breaches sanctionable with fines of 10–15 times Minimum Salary; 30% increase on reoccurrence; ancillary sanctions per Art. 21 may be imposed together with fines (Lexology).</t>
        </is>
      </c>
      <c r="S16" s="3" t="n">
        <v>1</v>
      </c>
      <c r="T16" s="3" t="n">
        <v>0.75</v>
      </c>
      <c r="U16" s="2" t="inlineStr">
        <is>
          <t>Lexology: fines 'between 10 and 15 times the Minimum Salary', +30% reoccurrence; ancillary sanctions with fines (+0.25 each). Decreto Art. 20 specifies obstruction (10), TAE non-payment and packaging breaches (15). Coercive fiscal execution if unpaid (Art. 22).</t>
        </is>
      </c>
      <c r="V16" s="3">
        <f>AVERAGE(P16,T16)</f>
        <v/>
      </c>
      <c r="W16" s="2" t="inlineStr">
        <is>
          <t>Lexology economic enforcement. Companies liable for 'fines and ancillary sanctions in the event of breach' per Lexology observations.</t>
        </is>
      </c>
    </row>
    <row r="17">
      <c r="A17" s="2" t="inlineStr">
        <is>
          <t>Regulamento sobre a Responsabilidade Alargada dos Produtores e Importadores de Embalagens (Decreto n.º 79/2017, de 28 de Dezembro)</t>
        </is>
      </c>
      <c r="B17" s="2" t="inlineStr">
        <is>
          <t>https://www.lexology.com/library/detail.aspx?g=bc88751e-ed7d-4f3f-972c-158b0f8fbbdf</t>
        </is>
      </c>
      <c r="C17" s="2" t="n">
        <v>2017</v>
      </c>
      <c r="D17" s="2" t="inlineStr">
        <is>
          <t>Adoption of principles, rules and guidelines to increase the responsibility of producers and importers of packaging in order to safeguard the environment and public health, in the context of sustainable development (Lexology; Reg. Art. 2).</t>
        </is>
      </c>
      <c r="E17" s="2" t="n">
        <v>0</v>
      </c>
      <c r="F17" s="2" t="inlineStr"/>
      <c r="G17" s="3" t="n">
        <v>0.75</v>
      </c>
      <c r="H17" s="2" t="inlineStr">
        <is>
          <t>Executive decree (Decreto n.º 79/2017) approved by the Council of Ministers on 21 November 2017, published 28 December 2017, entered into force 29 December 2017 (Lexology). Sub-legislative EPR instrument under Lei 20/97 Arts. 10 and 33.</t>
        </is>
      </c>
      <c r="I17" s="3" t="n">
        <v>0.75</v>
      </c>
      <c r="J17" s="2" t="inlineStr">
        <is>
          <t>packaging, plastics, industry, retail, import, municipalities, waste management, recycling, chemicals, finance</t>
        </is>
      </c>
      <c r="K17" s="3" t="n">
        <v>0.75</v>
      </c>
      <c r="L17" s="2" t="inlineStr">
        <is>
          <t>production, consumption, recycling, disposal</t>
        </is>
      </c>
      <c r="M17" s="3" t="n">
        <v>1</v>
      </c>
      <c r="N17"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17" s="3">
        <f>AVERAGE(G17,I17,K17,M17,P17)</f>
        <v/>
      </c>
      <c r="P17" s="3" t="n">
        <v>0.2</v>
      </c>
      <c r="Q17" s="2" t="inlineStr">
        <is>
          <t>Waste management</t>
        </is>
      </c>
      <c r="R17" s="2" t="inlineStr">
        <is>
          <t>Art. 23: COMAGE (Comissão de Monitoria e Avaliação da Gestão de Embalagens / Commission for the Supervision and Evaluation of the Management of Packaging) — multistakeholder body; proper functioning required for Regulation effectiveness (Lexology observations).</t>
        </is>
      </c>
      <c r="S17" s="3" t="n">
        <v>1</v>
      </c>
      <c r="T17" s="3" t="n">
        <v>0.5</v>
      </c>
      <c r="U17" s="2" t="inlineStr">
        <is>
          <t>Lexology: effectiveness 'will depend on... the proper functioning of' COMAGE (+0.25). Body created Art. 23 (+0.25). Africa RISE/Imani 2022–2025 supported operationalisation under MTA (+0.25). Consultative mandate limits executive enforcement power.</t>
        </is>
      </c>
      <c r="V17" s="3">
        <f>AVERAGE(P17,T17)</f>
        <v/>
      </c>
      <c r="W17" s="2" t="inlineStr">
        <is>
          <t>Lexology observations flag COMAGE as critical dependency for EPR effectiveness.</t>
        </is>
      </c>
    </row>
    <row r="18">
      <c r="A18" s="2" t="inlineStr">
        <is>
          <t>Regulamento sobre a Responsabilidade Alargada dos Produtores e Importadores de Embalagens (Decreto n.º 79/2017, de 28 de Dezembro)</t>
        </is>
      </c>
      <c r="B18" s="2" t="inlineStr">
        <is>
          <t>https://www.lexology.com/library/detail.aspx?g=bc88751e-ed7d-4f3f-972c-158b0f8fbbdf</t>
        </is>
      </c>
      <c r="C18" s="2" t="n">
        <v>2017</v>
      </c>
      <c r="D18" s="2" t="inlineStr">
        <is>
          <t>Adoption of principles, rules and guidelines to increase the responsibility of producers and importers of packaging in order to safeguard the environment and public health, in the context of sustainable development (Lexology; Reg. Art. 2).</t>
        </is>
      </c>
      <c r="E18" s="2" t="n">
        <v>0</v>
      </c>
      <c r="F18" s="2" t="inlineStr"/>
      <c r="G18" s="3" t="n">
        <v>0.75</v>
      </c>
      <c r="H18" s="2" t="inlineStr">
        <is>
          <t>Executive decree (Decreto n.º 79/2017) approved by the Council of Ministers on 21 November 2017, published 28 December 2017, entered into force 29 December 2017 (Lexology). Sub-legislative EPR instrument under Lei 20/97 Arts. 10 and 33.</t>
        </is>
      </c>
      <c r="I18" s="3" t="n">
        <v>0.75</v>
      </c>
      <c r="J18" s="2" t="inlineStr">
        <is>
          <t>packaging, plastics, industry, retail, import, municipalities, waste management, recycling, chemicals, finance</t>
        </is>
      </c>
      <c r="K18" s="3" t="n">
        <v>0.75</v>
      </c>
      <c r="L18" s="2" t="inlineStr">
        <is>
          <t>production, consumption, recycling, disposal</t>
        </is>
      </c>
      <c r="M18" s="3" t="n">
        <v>1</v>
      </c>
      <c r="N18"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18" s="3">
        <f>AVERAGE(G18,I18,K18,M18,P18)</f>
        <v/>
      </c>
      <c r="P18" s="3" t="n">
        <v>0.6</v>
      </c>
      <c r="Q18" s="2" t="inlineStr">
        <is>
          <t>Waste management</t>
        </is>
      </c>
      <c r="R18" s="2" t="inlineStr">
        <is>
          <t>Art. 24: TAE revenue split 60% State / 40% FNDS; fine revenue 40% State / 60% FNDS; FNDS funds ring-fenced for integrated waste management, selective collection, reuse, recycling, valorisation, environmental education, and institutional strengthening for packaging waste.</t>
        </is>
      </c>
      <c r="S18" s="3" t="n">
        <v>1</v>
      </c>
      <c r="T18" s="3" t="n">
        <v>0.5</v>
      </c>
      <c r="U18" s="2" t="inlineStr">
        <is>
          <t>'40% para o FNDS' (taxes) and '60% para o FNDS' (fines) with enumerated eligible actions including selective collection and recycling (+0.25 ring-fenced allocation). COMAGE monitors TAE revenue application (Art. 23(2)(c)). Revenue flows depend on TAE collection commencing 2026.</t>
        </is>
      </c>
      <c r="V18" s="3">
        <f>AVERAGE(P18,T18)</f>
        <v/>
      </c>
      <c r="W18" s="2" t="inlineStr">
        <is>
          <t>Supports policy_budget = 1; links TAE to circular-economy waste infrastructure.</t>
        </is>
      </c>
    </row>
    <row r="19">
      <c r="A19" s="2" t="inlineStr">
        <is>
          <t>Regulamento sobre a Responsabilidade Alargada dos Produtores e Importadores de Embalagens (Decreto n.º 79/2017, de 28 de Dezembro)</t>
        </is>
      </c>
      <c r="B19" s="2" t="inlineStr">
        <is>
          <t>https://www.lexology.com/library/detail.aspx?g=bc88751e-ed7d-4f3f-972c-158b0f8fbbdf</t>
        </is>
      </c>
      <c r="C19" s="2" t="n">
        <v>2017</v>
      </c>
      <c r="D19" s="2" t="inlineStr">
        <is>
          <t>Adoption of principles, rules and guidelines to increase the responsibility of producers and importers of packaging in order to safeguard the environment and public health, in the context of sustainable development (Lexology; Reg. Art. 2).</t>
        </is>
      </c>
      <c r="E19" s="2" t="n">
        <v>0</v>
      </c>
      <c r="F19" s="2" t="inlineStr"/>
      <c r="G19" s="3" t="n">
        <v>0.75</v>
      </c>
      <c r="H19" s="2" t="inlineStr">
        <is>
          <t>Executive decree (Decreto n.º 79/2017) approved by the Council of Ministers on 21 November 2017, published 28 December 2017, entered into force 29 December 2017 (Lexology). Sub-legislative EPR instrument under Lei 20/97 Arts. 10 and 33.</t>
        </is>
      </c>
      <c r="I19" s="3" t="n">
        <v>0.75</v>
      </c>
      <c r="J19" s="2" t="inlineStr">
        <is>
          <t>packaging, plastics, industry, retail, import, municipalities, waste management, recycling, chemicals, finance</t>
        </is>
      </c>
      <c r="K19" s="3" t="n">
        <v>0.75</v>
      </c>
      <c r="L19" s="2" t="inlineStr">
        <is>
          <t>production, consumption, recycling, disposal</t>
        </is>
      </c>
      <c r="M19" s="3" t="n">
        <v>1</v>
      </c>
      <c r="N19" s="2" t="inlineStr">
        <is>
          <t>Art. 24: TAE revenues allocated 60% State Budget / 40% FNDS; fine revenues 40% State / 60% FNDS, ring-fenced for integrated waste management, selective collection, recycling, valorisation, environmental education and institutional strengthening. COMAGE operating costs borne by FNDS (Art. 23(5)).</t>
        </is>
      </c>
      <c r="O19" s="3">
        <f>AVERAGE(G19,I19,K19,M19,P19)</f>
        <v/>
      </c>
      <c r="P19" s="3" t="n">
        <v>0.4</v>
      </c>
      <c r="Q19" s="2" t="inlineStr">
        <is>
          <t>Waste management</t>
        </is>
      </c>
      <c r="R19" s="2" t="inlineStr">
        <is>
          <t>Art. 4(g): Environmental education principle — provide education and training to increase citizens' capacity for sustainable development and environmental quality tasks.</t>
        </is>
      </c>
      <c r="S19" s="3" t="n">
        <v>1</v>
      </c>
      <c r="T19" s="3" t="n">
        <v>0.25</v>
      </c>
      <c r="U19" s="2" t="inlineStr">
        <is>
          <t>'pressupõe providenciar a educação e formação ambiental.' Principle stated (+0.25). Art. 8(1)(c) requires waste operators to promote community awareness. FNDS may fund education actions (Art. 24(3)(c)) but no mandatory programme specified.</t>
        </is>
      </c>
      <c r="V19" s="3">
        <f>AVERAGE(P19,T19)</f>
        <v/>
      </c>
      <c r="W19" s="2" t="inlineStr">
        <is>
          <t>Information/education instrument complementing operator duties Art. 8(1)(c).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Country</t>
        </is>
      </c>
      <c r="B2" t="inlineStr">
        <is>
          <t>Mozambique</t>
        </is>
      </c>
    </row>
    <row r="3">
      <c r="A3" t="inlineStr">
        <is>
          <t>Index</t>
        </is>
      </c>
      <c r="B3" t="inlineStr">
        <is>
          <t>4P Index v2</t>
        </is>
      </c>
    </row>
    <row r="4">
      <c r="A4" t="inlineStr">
        <is>
          <t>Policy</t>
        </is>
      </c>
      <c r="B4" t="inlineStr">
        <is>
          <t>Regulamento sobre a Responsabilidade Alargada dos Produtores e Importadores de Embalagens (Decreto n.º 79/2017, de 28 de Dezembro)</t>
        </is>
      </c>
    </row>
    <row r="5">
      <c r="A5" t="inlineStr">
        <is>
          <t>Primary legal text</t>
        </is>
      </c>
      <c r="B5" t="inlineStr">
        <is>
          <t>FDUEM Colectânea — Decreto 79/2017 section (user upload)</t>
        </is>
      </c>
    </row>
    <row r="6">
      <c r="A6" t="inlineStr">
        <is>
          <t>Primary analysis</t>
        </is>
      </c>
      <c r="B6" t="inlineStr">
        <is>
          <t>https://www.lexology.com/library/detail.aspx?g=bc88751e-ed7d-4f3f-972c-158b0f8fbbdf</t>
        </is>
      </c>
    </row>
    <row r="7">
      <c r="A7" t="inlineStr">
        <is>
          <t>Lexology text</t>
        </is>
      </c>
      <c r="B7" t="inlineStr">
        <is>
          <t>User-provided (incorporated in generator and Word doc)</t>
        </is>
      </c>
    </row>
    <row r="8">
      <c r="A8" t="inlineStr">
        <is>
          <t>Implementation updates</t>
        </is>
      </c>
      <c r="B8" t="inlineStr">
        <is>
          <t>DM 26/2025 (March 2025); IUCN MARPLASTICCS 2022; Africa RISE/Imani Development 2022–2025</t>
        </is>
      </c>
    </row>
    <row r="9">
      <c r="A9" t="inlineStr">
        <is>
          <t>Coding date</t>
        </is>
      </c>
      <c r="B9" t="inlineStr">
        <is>
          <t>June 2026</t>
        </is>
      </c>
    </row>
    <row r="10">
      <c r="A10" t="inlineStr">
        <is>
          <t>Total instrument rows</t>
        </is>
      </c>
      <c r="B10" t="n">
        <v>18</v>
      </c>
    </row>
    <row r="11">
      <c r="A11" t="inlineStr">
        <is>
          <t>Note</t>
        </is>
      </c>
      <c r="B11" t="inlineStr">
        <is>
          <t>Columns O and V use Excel formulas. policy_score = AVERAGE(G,I,K,M,P); instrument_score = AVERAGE(P,T). TAE in_force updated to 1 following DM 26/2025 (March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2026-06-19T11:33:26Z</dcterms:created>
  <dcterms:modified xmlns:dcterms="http://purl.org/dc/terms/" xmlns:xsi="http://www.w3.org/2001/XMLSchema-instance" xsi:type="dcterms:W3CDTF">2026-06-19T11:33:26Z</dcterms:modified>
</cp:coreProperties>
</file>