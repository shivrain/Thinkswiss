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4P Index Coding"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9"/>
      </patternFill>
    </fill>
    <fill>
      <patternFill patternType="solid">
        <fgColor rgb="00E2EFD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
  <sheetViews>
    <sheetView workbookViewId="0">
      <pane ySplit="1" topLeftCell="A2" activePane="bottomLeft" state="frozen"/>
      <selection pane="bottomLeft" activeCell="A1" sqref="A1"/>
    </sheetView>
  </sheetViews>
  <sheetFormatPr baseColWidth="8" defaultRowHeight="15"/>
  <cols>
    <col width="42" customWidth="1" min="1" max="1"/>
    <col width="48" customWidth="1" min="2" max="2"/>
    <col width="10" customWidth="1" min="3" max="3"/>
    <col width="44" customWidth="1" min="4" max="4"/>
    <col width="12" customWidth="1" min="5" max="5"/>
    <col width="20" customWidth="1" min="6" max="6"/>
    <col width="10" customWidth="1" min="7" max="7"/>
    <col width="36" customWidth="1" min="8" max="8"/>
    <col width="14" customWidth="1" min="9" max="9"/>
    <col width="36" customWidth="1" min="10" max="10"/>
    <col width="14" customWidth="1" min="11" max="11"/>
    <col width="28" customWidth="1" min="12" max="12"/>
    <col width="12" customWidth="1" min="13" max="13"/>
    <col width="36" customWidth="1" min="14" max="14"/>
    <col width="12" customWidth="1" min="15" max="15"/>
    <col width="14" customWidth="1" min="16" max="16"/>
    <col width="22" customWidth="1" min="17" max="17"/>
    <col width="52" customWidth="1" min="18" max="18"/>
    <col width="14" customWidth="1" min="19" max="19"/>
    <col width="18" customWidth="1" min="20" max="20"/>
    <col width="44" customWidth="1" min="21" max="21"/>
    <col width="14" customWidth="1" min="22" max="22"/>
    <col width="44" customWidth="1" min="23" max="23"/>
  </cols>
  <sheetData>
    <row r="1">
      <c r="A1" s="1" t="inlineStr">
        <is>
          <t>A — policy_name</t>
        </is>
      </c>
      <c r="B1" s="1" t="inlineStr">
        <is>
          <t>B — policy_url</t>
        </is>
      </c>
      <c r="C1" s="1" t="inlineStr">
        <is>
          <t>C — policy_year</t>
        </is>
      </c>
      <c r="D1" s="1" t="inlineStr">
        <is>
          <t>D — policy_objective</t>
        </is>
      </c>
      <c r="E1" s="1" t="inlineStr">
        <is>
          <t>E — policy_target</t>
        </is>
      </c>
      <c r="F1" s="1" t="inlineStr">
        <is>
          <t>F — policy_target_text</t>
        </is>
      </c>
      <c r="G1" s="1" t="inlineStr">
        <is>
          <t>G — policy_type</t>
        </is>
      </c>
      <c r="H1" s="1" t="inlineStr">
        <is>
          <t>H — policy_type_justification</t>
        </is>
      </c>
      <c r="I1" s="1" t="inlineStr">
        <is>
          <t>I — policy_integration</t>
        </is>
      </c>
      <c r="J1" s="1" t="inlineStr">
        <is>
          <t>J — policy_sectors_list</t>
        </is>
      </c>
      <c r="K1" s="1" t="inlineStr">
        <is>
          <t>K — policy_circularity</t>
        </is>
      </c>
      <c r="L1" s="1" t="inlineStr">
        <is>
          <t>L — policy_lifecycle_phases_list</t>
        </is>
      </c>
      <c r="M1" s="1" t="inlineStr">
        <is>
          <t>M — policy_budget</t>
        </is>
      </c>
      <c r="N1" s="1" t="inlineStr">
        <is>
          <t>N — policy_budget_text</t>
        </is>
      </c>
      <c r="O1" s="1" t="inlineStr">
        <is>
          <t>O — policy_score</t>
        </is>
      </c>
      <c r="P1" s="1" t="inlineStr">
        <is>
          <t>P — instrument_type</t>
        </is>
      </c>
      <c r="Q1" s="1" t="inlineStr">
        <is>
          <t>Q — instrument_lifecycle_stage</t>
        </is>
      </c>
      <c r="R1" s="1" t="inlineStr">
        <is>
          <t>R — instrument_description</t>
        </is>
      </c>
      <c r="S1" s="1" t="inlineStr">
        <is>
          <t>S — instrument_in_force</t>
        </is>
      </c>
      <c r="T1" s="1" t="inlineStr">
        <is>
          <t>T — instrument_implementation</t>
        </is>
      </c>
      <c r="U1" s="1" t="inlineStr">
        <is>
          <t>U — instrument_implementation_text</t>
        </is>
      </c>
      <c r="V1" s="1" t="inlineStr">
        <is>
          <t>V — instrument_score</t>
        </is>
      </c>
      <c r="W1" s="1" t="inlineStr">
        <is>
          <t>W — comments</t>
        </is>
      </c>
    </row>
    <row r="2">
      <c r="A2" s="2" t="inlineStr">
        <is>
          <t>Loi n° 2001-01 du 12 avril 2001 portant Code de l'Environnement</t>
        </is>
      </c>
      <c r="B2" s="2" t="inlineStr">
        <is>
          <t>https://www.denv.gouv.sn/telechargement/69/codes/18921/code-de-lenvironnement-2001.pdf</t>
        </is>
      </c>
      <c r="C2" s="2" t="n">
        <v>2001</v>
      </c>
      <c r="D2" s="2" t="inlineStr">
        <is>
          <t>Establish foundational environmental protection principles and obligations covering pollution control, waste management, product regulation, environmental assessment, and decentralised State/local responsibilities—providing the overarching legal framework through which plastic waste and pollution are indirectly governed, without plastic-specific targets or measures.</t>
        </is>
      </c>
      <c r="E2" s="2" t="n">
        <v>0</v>
      </c>
      <c r="F2" s="2" t="inlineStr"/>
      <c r="G2" s="2" t="n">
        <v>1</v>
      </c>
      <c r="H2" s="2" t="inlineStr">
        <is>
          <t>Foundational environmental code enacted by the National Assembly (29 December 2000) and Senate (4 January 2001) and promulgated by the President as Law No. 2001-01; legislation adopted by parliament, not an executive regulation.</t>
        </is>
      </c>
      <c r="I2" s="2" t="n">
        <v>1</v>
      </c>
      <c r="J2" s="2" t="inlineStr">
        <is>
          <t>environment, industry, agriculture, municipalities, fisheries, water, chemicals, waste management, urban planning, packaging</t>
        </is>
      </c>
      <c r="K2" s="2" t="n">
        <v>1</v>
      </c>
      <c r="L2" s="2" t="inlineStr">
        <is>
          <t>production, consumption, recycling, disposal, environmental leakage</t>
        </is>
      </c>
      <c r="M2" s="2" t="n">
        <v>0.5</v>
      </c>
      <c r="N2" s="2" t="inlineStr">
        <is>
          <t>Art. L26: 'les travaux sont réglés sur le fonds pour la protection de l'environnement' when the polluter is unidentified. Art. L27: annual pollution and facility taxes on classified installations, including 'taxes à la pollution' calculated according to set FCFA schedules.</t>
        </is>
      </c>
      <c r="O2" s="3">
        <f>AVERAGE(G2,I2,K2,M2,P2)</f>
        <v/>
      </c>
      <c r="P2" s="2" t="n">
        <v>1</v>
      </c>
      <c r="Q2" s="2" t="inlineStr">
        <is>
          <t>Waste management</t>
        </is>
      </c>
      <c r="R2" s="2" t="inlineStr">
        <is>
          <t>Art. L30–L31: All waste categories (including biomedical) must be eliminated or recycled ecologically rationally (L30). Producers/holders must ensure elimination or recycling themselves or via Ministry-licensed enterprises, or deliver waste to local authorities or State-licensed operators; recycling must comply with national standards (L31).</t>
        </is>
      </c>
      <c r="S2" s="2" t="n">
        <v>1</v>
      </c>
      <c r="T2" s="2" t="n">
        <v>1</v>
      </c>
      <c r="U2" s="2" t="inlineStr">
        <is>
          <t>L31: 'doit en assurer elle-même l'élimination ou le recyclage... entreprises agréées par le Ministre chargé de l'environnement... collectivité locale'. Enforcement via L38 (removal at polluter's cost) and criminal/administrative sanctions (Title IV). Monitoring via L37 authorisation and surveillance.</t>
        </is>
      </c>
      <c r="V2" s="3">
        <f>AVERAGE(P2,T2)</f>
        <v/>
      </c>
      <c r="W2" s="2" t="inlineStr">
        <is>
          <t>No explicit mention of plastics; applies to all solid waste streams including plastic waste. Law 2023-15 replaced Law 2001-01 on 2 August 2023; substantive waste obligations largely carried forward.</t>
        </is>
      </c>
    </row>
    <row r="3">
      <c r="A3" s="2" t="inlineStr">
        <is>
          <t>Loi n° 2001-01 du 12 avril 2001 portant Code de l'Environnement</t>
        </is>
      </c>
      <c r="B3" s="2" t="inlineStr">
        <is>
          <t>https://www.denv.gouv.sn/telechargement/69/codes/18921/code-de-lenvironnement-2001.pdf</t>
        </is>
      </c>
      <c r="C3" s="2" t="n">
        <v>2001</v>
      </c>
      <c r="D3" s="2" t="inlineStr">
        <is>
          <t>Establish foundational environmental protection principles and obligations covering pollution control, waste management, product regulation, environmental assessment, and decentralised State/local responsibilities—providing the overarching legal framework through which plastic waste and pollution are indirectly governed, without plastic-specific targets or measures.</t>
        </is>
      </c>
      <c r="E3" s="2" t="n">
        <v>0</v>
      </c>
      <c r="F3" s="2" t="inlineStr"/>
      <c r="G3" s="2" t="n">
        <v>1</v>
      </c>
      <c r="H3" s="2" t="inlineStr">
        <is>
          <t>Foundational environmental code enacted by the National Assembly (29 December 2000) and Senate (4 January 2001) and promulgated by the President as Law No. 2001-01; legislation adopted by parliament, not an executive regulation.</t>
        </is>
      </c>
      <c r="I3" s="2" t="n">
        <v>1</v>
      </c>
      <c r="J3" s="2" t="inlineStr">
        <is>
          <t>environment, industry, agriculture, municipalities, fisheries, water, chemicals, waste management, urban planning, packaging</t>
        </is>
      </c>
      <c r="K3" s="2" t="n">
        <v>1</v>
      </c>
      <c r="L3" s="2" t="inlineStr">
        <is>
          <t>production, consumption, recycling, disposal, environmental leakage</t>
        </is>
      </c>
      <c r="M3" s="2" t="n">
        <v>0.5</v>
      </c>
      <c r="N3" s="2" t="inlineStr">
        <is>
          <t>Art. L26: 'les travaux sont réglés sur le fonds pour la protection de l'environnement' when the polluter is unidentified. Art. L27: annual pollution and facility taxes on classified installations, including 'taxes à la pollution' calculated according to set FCFA schedules.</t>
        </is>
      </c>
      <c r="O3" s="3">
        <f>AVERAGE(G3,I3,K3,M3,P3)</f>
        <v/>
      </c>
      <c r="P3" s="2" t="n">
        <v>0.2</v>
      </c>
      <c r="Q3" s="2" t="inlineStr">
        <is>
          <t>Waste management</t>
        </is>
      </c>
      <c r="R3" s="2" t="inlineStr">
        <is>
          <t>Art. L32: Local authorities and constituted groupings must ensure elimination of household waste, potentially with regional/national State services; may also collect and treat non-household waste and create a special fee (redevance) for this.</t>
        </is>
      </c>
      <c r="S3" s="2" t="n">
        <v>1</v>
      </c>
      <c r="T3" s="2" t="n">
        <v>0.5</v>
      </c>
      <c r="U3" s="2" t="inlineStr">
        <is>
          <t>L32: 'Les collectivités locales... assurent l'élimination de déchets des ménages' and 'peuvent... créer une redevance spéciale'. Responsible authority designated; fee creation is optional; enforcement mechanisms not detailed in this article.</t>
        </is>
      </c>
      <c r="V3" s="3">
        <f>AVERAGE(P3,T3)</f>
        <v/>
      </c>
      <c r="W3" s="2" t="inlineStr">
        <is>
          <t>Key governance instrument for municipal plastic waste collection. Complements Art. L6 decentralisation of environment competences to collectivités locales.</t>
        </is>
      </c>
    </row>
    <row r="4">
      <c r="A4" s="2" t="inlineStr">
        <is>
          <t>Loi n° 2001-01 du 12 avril 2001 portant Code de l'Environnement</t>
        </is>
      </c>
      <c r="B4" s="2" t="inlineStr">
        <is>
          <t>https://www.denv.gouv.sn/telechargement/69/codes/18921/code-de-lenvironnement-2001.pdf</t>
        </is>
      </c>
      <c r="C4" s="2" t="n">
        <v>2001</v>
      </c>
      <c r="D4" s="2" t="inlineStr">
        <is>
          <t>Establish foundational environmental protection principles and obligations covering pollution control, waste management, product regulation, environmental assessment, and decentralised State/local responsibilities—providing the overarching legal framework through which plastic waste and pollution are indirectly governed, without plastic-specific targets or measures.</t>
        </is>
      </c>
      <c r="E4" s="2" t="n">
        <v>0</v>
      </c>
      <c r="F4" s="2" t="inlineStr"/>
      <c r="G4" s="2" t="n">
        <v>1</v>
      </c>
      <c r="H4" s="2" t="inlineStr">
        <is>
          <t>Foundational environmental code enacted by the National Assembly (29 December 2000) and Senate (4 January 2001) and promulgated by the President as Law No. 2001-01; legislation adopted by parliament, not an executive regulation.</t>
        </is>
      </c>
      <c r="I4" s="2" t="n">
        <v>1</v>
      </c>
      <c r="J4" s="2" t="inlineStr">
        <is>
          <t>environment, industry, agriculture, municipalities, fisheries, water, chemicals, waste management, urban planning, packaging</t>
        </is>
      </c>
      <c r="K4" s="2" t="n">
        <v>1</v>
      </c>
      <c r="L4" s="2" t="inlineStr">
        <is>
          <t>production, consumption, recycling, disposal, environmental leakage</t>
        </is>
      </c>
      <c r="M4" s="2" t="n">
        <v>0.5</v>
      </c>
      <c r="N4" s="2" t="inlineStr">
        <is>
          <t>Art. L26: 'les travaux sont réglés sur le fonds pour la protection de l'environnement' when the polluter is unidentified. Art. L27: annual pollution and facility taxes on classified installations, including 'taxes à la pollution' calculated according to set FCFA schedules.</t>
        </is>
      </c>
      <c r="O4" s="3">
        <f>AVERAGE(G4,I4,K4,M4,P4)</f>
        <v/>
      </c>
      <c r="P4" s="2" t="n">
        <v>0.2</v>
      </c>
      <c r="Q4" s="2" t="inlineStr">
        <is>
          <t>Waste management</t>
        </is>
      </c>
      <c r="R4" s="2" t="inlineStr">
        <is>
          <t>Art. L34: Conditions for waste collection, sorting, storage, transport, recovery, reuse, recycling, other treatment and final disposal—to prevent overproduction, recoverable waste loss and environmental pollution—are set by ministerial arrêté with other concerned ministers.</t>
        </is>
      </c>
      <c r="S4" s="2" t="n">
        <v>1</v>
      </c>
      <c r="T4" s="2" t="n">
        <v>0.5</v>
      </c>
      <c r="U4" s="2" t="inlineStr">
        <is>
          <t>L34: 'sont fixées par arrêté du Ministre chargé de l'environnement en collaboration avec les autres Ministres concernés'. Enabling provision operationalised through Décret n° 2001-282 and subsequent waste regulations.</t>
        </is>
      </c>
      <c r="V4" s="3">
        <f>AVERAGE(P4,T4)</f>
        <v/>
      </c>
      <c r="W4" s="2" t="inlineStr">
        <is>
          <t>Enabling power scored in_force=1 because subordinate regulations (Décret 2001-282) were adopted. Enables technical standards applicable to plastic waste operations.</t>
        </is>
      </c>
    </row>
    <row r="5">
      <c r="A5" s="2" t="inlineStr">
        <is>
          <t>Loi n° 2001-01 du 12 avril 2001 portant Code de l'Environnement</t>
        </is>
      </c>
      <c r="B5" s="2" t="inlineStr">
        <is>
          <t>https://www.denv.gouv.sn/telechargement/69/codes/18921/code-de-lenvironnement-2001.pdf</t>
        </is>
      </c>
      <c r="C5" s="2" t="n">
        <v>2001</v>
      </c>
      <c r="D5" s="2" t="inlineStr">
        <is>
          <t>Establish foundational environmental protection principles and obligations covering pollution control, waste management, product regulation, environmental assessment, and decentralised State/local responsibilities—providing the overarching legal framework through which plastic waste and pollution are indirectly governed, without plastic-specific targets or measures.</t>
        </is>
      </c>
      <c r="E5" s="2" t="n">
        <v>0</v>
      </c>
      <c r="F5" s="2" t="inlineStr"/>
      <c r="G5" s="2" t="n">
        <v>1</v>
      </c>
      <c r="H5" s="2" t="inlineStr">
        <is>
          <t>Foundational environmental code enacted by the National Assembly (29 December 2000) and Senate (4 January 2001) and promulgated by the President as Law No. 2001-01; legislation adopted by parliament, not an executive regulation.</t>
        </is>
      </c>
      <c r="I5" s="2" t="n">
        <v>1</v>
      </c>
      <c r="J5" s="2" t="inlineStr">
        <is>
          <t>environment, industry, agriculture, municipalities, fisheries, water, chemicals, waste management, urban planning, packaging</t>
        </is>
      </c>
      <c r="K5" s="2" t="n">
        <v>1</v>
      </c>
      <c r="L5" s="2" t="inlineStr">
        <is>
          <t>production, consumption, recycling, disposal, environmental leakage</t>
        </is>
      </c>
      <c r="M5" s="2" t="n">
        <v>0.5</v>
      </c>
      <c r="N5" s="2" t="inlineStr">
        <is>
          <t>Art. L26: 'les travaux sont réglés sur le fonds pour la protection de l'environnement' when the polluter is unidentified. Art. L27: annual pollution and facility taxes on classified installations, including 'taxes à la pollution' calculated according to set FCFA schedules.</t>
        </is>
      </c>
      <c r="O5" s="3">
        <f>AVERAGE(G5,I5,K5,M5,P5)</f>
        <v/>
      </c>
      <c r="P5" s="2" t="n">
        <v>1</v>
      </c>
      <c r="Q5" s="2" t="inlineStr">
        <is>
          <t>Environmental leakage</t>
        </is>
      </c>
      <c r="R5" s="2" t="inlineStr">
        <is>
          <t>Art. L35: Absolute prohibition on depositing waste on the public domain, including maritime public domain as defined by the Merchant Marine Code; public-domain concessionaires must eliminate or recycle waste found there.</t>
        </is>
      </c>
      <c r="S5" s="2" t="n">
        <v>1</v>
      </c>
      <c r="T5" s="2" t="n">
        <v>0.75</v>
      </c>
      <c r="U5" s="2" t="inlineStr">
        <is>
          <t>L35: 'Est interdit de façon absolue le dépôt des déchets sur le domaine public y compris le domaine public maritime'. Authorities: concessionaires and collectivités (L36). Enforcement via L38 and general penal/administrative sanctions; no article-specific fine in legislative part.</t>
        </is>
      </c>
      <c r="V5" s="3">
        <f>AVERAGE(P5,T5)</f>
        <v/>
      </c>
      <c r="W5" s="2" t="inlineStr">
        <is>
          <t>Directly relevant to littering and marine plastic leakage. Mandatory ban language ('interdit de façon absolue').</t>
        </is>
      </c>
    </row>
    <row r="6">
      <c r="A6" s="2" t="inlineStr">
        <is>
          <t>Loi n° 2001-01 du 12 avril 2001 portant Code de l'Environnement</t>
        </is>
      </c>
      <c r="B6" s="2" t="inlineStr">
        <is>
          <t>https://www.denv.gouv.sn/telechargement/69/codes/18921/code-de-lenvironnement-2001.pdf</t>
        </is>
      </c>
      <c r="C6" s="2" t="n">
        <v>2001</v>
      </c>
      <c r="D6" s="2" t="inlineStr">
        <is>
          <t>Establish foundational environmental protection principles and obligations covering pollution control, waste management, product regulation, environmental assessment, and decentralised State/local responsibilities—providing the overarching legal framework through which plastic waste and pollution are indirectly governed, without plastic-specific targets or measures.</t>
        </is>
      </c>
      <c r="E6" s="2" t="n">
        <v>0</v>
      </c>
      <c r="F6" s="2" t="inlineStr"/>
      <c r="G6" s="2" t="n">
        <v>1</v>
      </c>
      <c r="H6" s="2" t="inlineStr">
        <is>
          <t>Foundational environmental code enacted by the National Assembly (29 December 2000) and Senate (4 January 2001) and promulgated by the President as Law No. 2001-01; legislation adopted by parliament, not an executive regulation.</t>
        </is>
      </c>
      <c r="I6" s="2" t="n">
        <v>1</v>
      </c>
      <c r="J6" s="2" t="inlineStr">
        <is>
          <t>environment, industry, agriculture, municipalities, fisheries, water, chemicals, waste management, urban planning, packaging</t>
        </is>
      </c>
      <c r="K6" s="2" t="n">
        <v>1</v>
      </c>
      <c r="L6" s="2" t="inlineStr">
        <is>
          <t>production, consumption, recycling, disposal, environmental leakage</t>
        </is>
      </c>
      <c r="M6" s="2" t="n">
        <v>0.5</v>
      </c>
      <c r="N6" s="2" t="inlineStr">
        <is>
          <t>Art. L26: 'les travaux sont réglés sur le fonds pour la protection de l'environnement' when the polluter is unidentified. Art. L27: annual pollution and facility taxes on classified installations, including 'taxes à la pollution' calculated according to set FCFA schedules.</t>
        </is>
      </c>
      <c r="O6" s="3">
        <f>AVERAGE(G6,I6,K6,M6,P6)</f>
        <v/>
      </c>
      <c r="P6" s="2" t="n">
        <v>0.2</v>
      </c>
      <c r="Q6" s="2" t="inlineStr">
        <is>
          <t>Environmental leakage</t>
        </is>
      </c>
      <c r="R6" s="2" t="inlineStr">
        <is>
          <t>Art. L36: Local authorities must stop all illegal dumping (dépôts sauvages) and eliminate abandoned waste of unidentified ownership with State services or licensed enterprises.</t>
        </is>
      </c>
      <c r="S6" s="2" t="n">
        <v>1</v>
      </c>
      <c r="T6" s="2" t="n">
        <v>0.5</v>
      </c>
      <c r="U6" s="2" t="inlineStr">
        <is>
          <t>L36: 'Les collectivités locales veillent à enrayer tous les dépôts sauvages. Elles assurent l'élimination... des déchets abandonnés'. Authority designated; monitoring duty ('veillent'); enforcement mechanisms indirect.</t>
        </is>
      </c>
      <c r="V6" s="3">
        <f>AVERAGE(P6,T6)</f>
        <v/>
      </c>
      <c r="W6" s="2" t="inlineStr">
        <is>
          <t>Governance/coordination instrument for illegal dumpsites, common pathway for plastic waste leakage.</t>
        </is>
      </c>
    </row>
    <row r="7">
      <c r="A7" s="2" t="inlineStr">
        <is>
          <t>Loi n° 2001-01 du 12 avril 2001 portant Code de l'Environnement</t>
        </is>
      </c>
      <c r="B7" s="2" t="inlineStr">
        <is>
          <t>https://www.denv.gouv.sn/telechargement/69/codes/18921/code-de-lenvironnement-2001.pdf</t>
        </is>
      </c>
      <c r="C7" s="2" t="n">
        <v>2001</v>
      </c>
      <c r="D7" s="2" t="inlineStr">
        <is>
          <t>Establish foundational environmental protection principles and obligations covering pollution control, waste management, product regulation, environmental assessment, and decentralised State/local responsibilities—providing the overarching legal framework through which plastic waste and pollution are indirectly governed, without plastic-specific targets or measures.</t>
        </is>
      </c>
      <c r="E7" s="2" t="n">
        <v>0</v>
      </c>
      <c r="F7" s="2" t="inlineStr"/>
      <c r="G7" s="2" t="n">
        <v>1</v>
      </c>
      <c r="H7" s="2" t="inlineStr">
        <is>
          <t>Foundational environmental code enacted by the National Assembly (29 December 2000) and Senate (4 January 2001) and promulgated by the President as Law No. 2001-01; legislation adopted by parliament, not an executive regulation.</t>
        </is>
      </c>
      <c r="I7" s="2" t="n">
        <v>1</v>
      </c>
      <c r="J7" s="2" t="inlineStr">
        <is>
          <t>environment, industry, agriculture, municipalities, fisheries, water, chemicals, waste management, urban planning, packaging</t>
        </is>
      </c>
      <c r="K7" s="2" t="n">
        <v>1</v>
      </c>
      <c r="L7" s="2" t="inlineStr">
        <is>
          <t>production, consumption, recycling, disposal, environmental leakage</t>
        </is>
      </c>
      <c r="M7" s="2" t="n">
        <v>0.5</v>
      </c>
      <c r="N7" s="2" t="inlineStr">
        <is>
          <t>Art. L26: 'les travaux sont réglés sur le fonds pour la protection de l'environnement' when the polluter is unidentified. Art. L27: annual pollution and facility taxes on classified installations, including 'taxes à la pollution' calculated according to set FCFA schedules.</t>
        </is>
      </c>
      <c r="O7" s="3">
        <f>AVERAGE(G7,I7,K7,M7,P7)</f>
        <v/>
      </c>
      <c r="P7" s="2" t="n">
        <v>1</v>
      </c>
      <c r="Q7" s="2" t="inlineStr">
        <is>
          <t>Waste management</t>
        </is>
      </c>
      <c r="R7" s="2" t="inlineStr">
        <is>
          <t>Art. L37: Industrial waste elimination by producing and/or treatment structures must be carried out under Ministry of Environment authorisation and supervision with prescribed conditions; consumers and consumer associations must help ensure compliance.</t>
        </is>
      </c>
      <c r="S7" s="2" t="n">
        <v>1</v>
      </c>
      <c r="T7" s="2" t="n">
        <v>0.75</v>
      </c>
      <c r="U7" s="2" t="inlineStr">
        <is>
          <t>L37: 'doit être faite sur autorisation et surveillance du Ministère chargé de l'environnement qui fixe des prescriptions'. Authority and monitoring explicit; enforcement via L38 and Title IV sanctions.</t>
        </is>
      </c>
      <c r="V7" s="3">
        <f>AVERAGE(P7,T7)</f>
        <v/>
      </c>
      <c r="W7" s="2" t="inlineStr">
        <is>
          <t>Applies to industrial plastic waste streams and plastic processing facilities.</t>
        </is>
      </c>
    </row>
    <row r="8">
      <c r="A8" s="2" t="inlineStr">
        <is>
          <t>Loi n° 2001-01 du 12 avril 2001 portant Code de l'Environnement</t>
        </is>
      </c>
      <c r="B8" s="2" t="inlineStr">
        <is>
          <t>https://www.denv.gouv.sn/telechargement/69/codes/18921/code-de-lenvironnement-2001.pdf</t>
        </is>
      </c>
      <c r="C8" s="2" t="n">
        <v>2001</v>
      </c>
      <c r="D8" s="2" t="inlineStr">
        <is>
          <t>Establish foundational environmental protection principles and obligations covering pollution control, waste management, product regulation, environmental assessment, and decentralised State/local responsibilities—providing the overarching legal framework through which plastic waste and pollution are indirectly governed, without plastic-specific targets or measures.</t>
        </is>
      </c>
      <c r="E8" s="2" t="n">
        <v>0</v>
      </c>
      <c r="F8" s="2" t="inlineStr"/>
      <c r="G8" s="2" t="n">
        <v>1</v>
      </c>
      <c r="H8" s="2" t="inlineStr">
        <is>
          <t>Foundational environmental code enacted by the National Assembly (29 December 2000) and Senate (4 January 2001) and promulgated by the President as Law No. 2001-01; legislation adopted by parliament, not an executive regulation.</t>
        </is>
      </c>
      <c r="I8" s="2" t="n">
        <v>1</v>
      </c>
      <c r="J8" s="2" t="inlineStr">
        <is>
          <t>environment, industry, agriculture, municipalities, fisheries, water, chemicals, waste management, urban planning, packaging</t>
        </is>
      </c>
      <c r="K8" s="2" t="n">
        <v>1</v>
      </c>
      <c r="L8" s="2" t="inlineStr">
        <is>
          <t>production, consumption, recycling, disposal, environmental leakage</t>
        </is>
      </c>
      <c r="M8" s="2" t="n">
        <v>0.5</v>
      </c>
      <c r="N8" s="2" t="inlineStr">
        <is>
          <t>Art. L26: 'les travaux sont réglés sur le fonds pour la protection de l'environnement' when the polluter is unidentified. Art. L27: annual pollution and facility taxes on classified installations, including 'taxes à la pollution' calculated according to set FCFA schedules.</t>
        </is>
      </c>
      <c r="O8" s="3">
        <f>AVERAGE(G8,I8,K8,M8,P8)</f>
        <v/>
      </c>
      <c r="P8" s="2" t="n">
        <v>1</v>
      </c>
      <c r="Q8" s="2" t="inlineStr">
        <is>
          <t>Disposal</t>
        </is>
      </c>
      <c r="R8" s="2" t="inlineStr">
        <is>
          <t>Art. L38: When waste is abandoned, deposited or treated contrary to the Code, the police authority must—after formal notice—remove it at the responsible party's expense and may require an escrow deposit with a public accountant.</t>
        </is>
      </c>
      <c r="S8" s="2" t="n">
        <v>1</v>
      </c>
      <c r="T8" s="2" t="n">
        <v>1</v>
      </c>
      <c r="U8" s="2" t="inlineStr">
        <is>
          <t>L38: 'l'autorité détentrice du pouvoir de police doit, après mise en demeure, assurer d'office l'élimination desdits déchets aux frais du responsable' and must 'obliger le responsable à consigner... une somme correspondant au montant des travaux'. Mandatory, unconditional enforcement mechanism.</t>
        </is>
      </c>
      <c r="V8" s="3">
        <f>AVERAGE(P8,T8)</f>
        <v/>
      </c>
      <c r="W8" s="2" t="inlineStr">
        <is>
          <t>Cross-cutting enforcement instrument for illegal waste disposal including plastic litter.</t>
        </is>
      </c>
    </row>
    <row r="9">
      <c r="A9" s="2" t="inlineStr">
        <is>
          <t>Loi n° 2001-01 du 12 avril 2001 portant Code de l'Environnement</t>
        </is>
      </c>
      <c r="B9" s="2" t="inlineStr">
        <is>
          <t>https://www.denv.gouv.sn/telechargement/69/codes/18921/code-de-lenvironnement-2001.pdf</t>
        </is>
      </c>
      <c r="C9" s="2" t="n">
        <v>2001</v>
      </c>
      <c r="D9" s="2" t="inlineStr">
        <is>
          <t>Establish foundational environmental protection principles and obligations covering pollution control, waste management, product regulation, environmental assessment, and decentralised State/local responsibilities—providing the overarching legal framework through which plastic waste and pollution are indirectly governed, without plastic-specific targets or measures.</t>
        </is>
      </c>
      <c r="E9" s="2" t="n">
        <v>0</v>
      </c>
      <c r="F9" s="2" t="inlineStr"/>
      <c r="G9" s="2" t="n">
        <v>1</v>
      </c>
      <c r="H9" s="2" t="inlineStr">
        <is>
          <t>Foundational environmental code enacted by the National Assembly (29 December 2000) and Senate (4 January 2001) and promulgated by the President as Law No. 2001-01; legislation adopted by parliament, not an executive regulation.</t>
        </is>
      </c>
      <c r="I9" s="2" t="n">
        <v>1</v>
      </c>
      <c r="J9" s="2" t="inlineStr">
        <is>
          <t>environment, industry, agriculture, municipalities, fisheries, water, chemicals, waste management, urban planning, packaging</t>
        </is>
      </c>
      <c r="K9" s="2" t="n">
        <v>1</v>
      </c>
      <c r="L9" s="2" t="inlineStr">
        <is>
          <t>production, consumption, recycling, disposal, environmental leakage</t>
        </is>
      </c>
      <c r="M9" s="2" t="n">
        <v>0.5</v>
      </c>
      <c r="N9" s="2" t="inlineStr">
        <is>
          <t>Art. L26: 'les travaux sont réglés sur le fonds pour la protection de l'environnement' when the polluter is unidentified. Art. L27: annual pollution and facility taxes on classified installations, including 'taxes à la pollution' calculated according to set FCFA schedules.</t>
        </is>
      </c>
      <c r="O9" s="3">
        <f>AVERAGE(G9,I9,K9,M9,P9)</f>
        <v/>
      </c>
      <c r="P9" s="2" t="n">
        <v>1</v>
      </c>
      <c r="Q9" s="2" t="inlineStr">
        <is>
          <t>Waste management</t>
        </is>
      </c>
      <c r="R9" s="2" t="inlineStr">
        <is>
          <t>Art. L39: Formal prohibition on importing hazardous waste onto Senegalese territory; criminalised under Art. L92.</t>
        </is>
      </c>
      <c r="S9" s="2" t="n">
        <v>1</v>
      </c>
      <c r="T9" s="2" t="n">
        <v>0.75</v>
      </c>
      <c r="U9" s="2" t="inlineStr">
        <is>
          <t>L39: 'Il est formellement interdit d'importer des déchets dangereux sur le territoire sénégalais'. L92: imprisonment 1–5 years and fine 10–50 million FCFA for clandestine import of toxic hazardous waste.</t>
        </is>
      </c>
      <c r="V9" s="3">
        <f>AVERAGE(P9,T9)</f>
        <v/>
      </c>
      <c r="W9" s="2" t="inlineStr">
        <is>
          <t>Relevant to transboundary plastic/hazardous waste flows; implements Bamako/Bâle Convention principles.</t>
        </is>
      </c>
    </row>
    <row r="10">
      <c r="A10" s="2" t="inlineStr">
        <is>
          <t>Loi n° 2001-01 du 12 avril 2001 portant Code de l'Environnement</t>
        </is>
      </c>
      <c r="B10" s="2" t="inlineStr">
        <is>
          <t>https://www.denv.gouv.sn/telechargement/69/codes/18921/code-de-lenvironnement-2001.pdf</t>
        </is>
      </c>
      <c r="C10" s="2" t="n">
        <v>2001</v>
      </c>
      <c r="D10" s="2" t="inlineStr">
        <is>
          <t>Establish foundational environmental protection principles and obligations covering pollution control, waste management, product regulation, environmental assessment, and decentralised State/local responsibilities—providing the overarching legal framework through which plastic waste and pollution are indirectly governed, without plastic-specific targets or measures.</t>
        </is>
      </c>
      <c r="E10" s="2" t="n">
        <v>0</v>
      </c>
      <c r="F10" s="2" t="inlineStr"/>
      <c r="G10" s="2" t="n">
        <v>1</v>
      </c>
      <c r="H10" s="2" t="inlineStr">
        <is>
          <t>Foundational environmental code enacted by the National Assembly (29 December 2000) and Senate (4 January 2001) and promulgated by the President as Law No. 2001-01; legislation adopted by parliament, not an executive regulation.</t>
        </is>
      </c>
      <c r="I10" s="2" t="n">
        <v>1</v>
      </c>
      <c r="J10" s="2" t="inlineStr">
        <is>
          <t>environment, industry, agriculture, municipalities, fisheries, water, chemicals, waste management, urban planning, packaging</t>
        </is>
      </c>
      <c r="K10" s="2" t="n">
        <v>1</v>
      </c>
      <c r="L10" s="2" t="inlineStr">
        <is>
          <t>production, consumption, recycling, disposal, environmental leakage</t>
        </is>
      </c>
      <c r="M10" s="2" t="n">
        <v>0.5</v>
      </c>
      <c r="N10" s="2" t="inlineStr">
        <is>
          <t>Art. L26: 'les travaux sont réglés sur le fonds pour la protection de l'environnement' when the polluter is unidentified. Art. L27: annual pollution and facility taxes on classified installations, including 'taxes à la pollution' calculated according to set FCFA schedules.</t>
        </is>
      </c>
      <c r="O10" s="3">
        <f>AVERAGE(G10,I10,K10,M10,P10)</f>
        <v/>
      </c>
      <c r="P10" s="2" t="n">
        <v>0.2</v>
      </c>
      <c r="Q10" s="2" t="inlineStr">
        <is>
          <t>Consumption</t>
        </is>
      </c>
      <c r="R10" s="2" t="inlineStr">
        <is>
          <t>Art. L40: Manufacture, import, possession for sale and supply to consumers of products or materials generating waste must be regulated by joint ministerial arrêté to facilitate waste elimination or, if necessary, prohibit them.</t>
        </is>
      </c>
      <c r="S10" s="2" t="n">
        <v>1</v>
      </c>
      <c r="T10" s="2" t="n">
        <v>0.25</v>
      </c>
      <c r="U10" s="2" t="inlineStr">
        <is>
          <t>L40: 'doivent être réglementées par arrêté conjoint des Ministres chargés du commerce, de l'environnement, et de la santé publique... ou... les interdire'. Responsible ministers designated; operational detail left to subordinate instruments.</t>
        </is>
      </c>
      <c r="V10" s="3">
        <f>AVERAGE(P10,T10)</f>
        <v/>
      </c>
      <c r="W10" s="2" t="inlineStr">
        <is>
          <t>Enabling power exercised for plastics through Loi n° 2020-04. Scored governance (0.20) as the Code provision itself delegates action to arrêtés; in_force=1 because subsequent plastic legislation operationalised the power.</t>
        </is>
      </c>
    </row>
    <row r="11">
      <c r="A11" s="2" t="inlineStr">
        <is>
          <t>Loi n° 2001-01 du 12 avril 2001 portant Code de l'Environnement</t>
        </is>
      </c>
      <c r="B11" s="2" t="inlineStr">
        <is>
          <t>https://www.denv.gouv.sn/telechargement/69/codes/18921/code-de-lenvironnement-2001.pdf</t>
        </is>
      </c>
      <c r="C11" s="2" t="n">
        <v>2001</v>
      </c>
      <c r="D11" s="2" t="inlineStr">
        <is>
          <t>Establish foundational environmental protection principles and obligations covering pollution control, waste management, product regulation, environmental assessment, and decentralised State/local responsibilities—providing the overarching legal framework through which plastic waste and pollution are indirectly governed, without plastic-specific targets or measures.</t>
        </is>
      </c>
      <c r="E11" s="2" t="n">
        <v>0</v>
      </c>
      <c r="F11" s="2" t="inlineStr"/>
      <c r="G11" s="2" t="n">
        <v>1</v>
      </c>
      <c r="H11" s="2" t="inlineStr">
        <is>
          <t>Foundational environmental code enacted by the National Assembly (29 December 2000) and Senate (4 January 2001) and promulgated by the President as Law No. 2001-01; legislation adopted by parliament, not an executive regulation.</t>
        </is>
      </c>
      <c r="I11" s="2" t="n">
        <v>1</v>
      </c>
      <c r="J11" s="2" t="inlineStr">
        <is>
          <t>environment, industry, agriculture, municipalities, fisheries, water, chemicals, waste management, urban planning, packaging</t>
        </is>
      </c>
      <c r="K11" s="2" t="n">
        <v>1</v>
      </c>
      <c r="L11" s="2" t="inlineStr">
        <is>
          <t>production, consumption, recycling, disposal, environmental leakage</t>
        </is>
      </c>
      <c r="M11" s="2" t="n">
        <v>0.5</v>
      </c>
      <c r="N11" s="2" t="inlineStr">
        <is>
          <t>Art. L26: 'les travaux sont réglés sur le fonds pour la protection de l'environnement' when the polluter is unidentified. Art. L27: annual pollution and facility taxes on classified installations, including 'taxes à la pollution' calculated according to set FCFA schedules.</t>
        </is>
      </c>
      <c r="O11" s="3">
        <f>AVERAGE(G11,I11,K11,M11,P11)</f>
        <v/>
      </c>
      <c r="P11" s="2" t="n">
        <v>1</v>
      </c>
      <c r="Q11" s="2" t="inlineStr">
        <is>
          <t>Environmental leakage</t>
        </is>
      </c>
      <c r="R11" s="2" t="inlineStr">
        <is>
          <t>Art. L41: Prohibition of immersion, incineration or any disposal of waste in continental, marine or fluvio-maritime waters under Senegalese jurisdiction.</t>
        </is>
      </c>
      <c r="S11" s="2" t="n">
        <v>1</v>
      </c>
      <c r="T11" s="2" t="n">
        <v>0.75</v>
      </c>
      <c r="U11" s="2" t="inlineStr">
        <is>
          <t>L41: 'sont interdites'. L97 penalises marine/continental water pollution in violation of corresponding provisions (fine 500,000–2,000,000 FCFA; imprisonment 6 months–1 year; doubled on recurrence).</t>
        </is>
      </c>
      <c r="V11" s="3">
        <f>AVERAGE(P11,T11)</f>
        <v/>
      </c>
      <c r="W11" s="2" t="inlineStr">
        <is>
          <t>Directly relevant to marine plastic pollution and aquatic waste disposal.</t>
        </is>
      </c>
    </row>
    <row r="12">
      <c r="A12" s="2" t="inlineStr">
        <is>
          <t>Loi n° 2001-01 du 12 avril 2001 portant Code de l'Environnement</t>
        </is>
      </c>
      <c r="B12" s="2" t="inlineStr">
        <is>
          <t>https://www.denv.gouv.sn/telechargement/69/codes/18921/code-de-lenvironnement-2001.pdf</t>
        </is>
      </c>
      <c r="C12" s="2" t="n">
        <v>2001</v>
      </c>
      <c r="D12" s="2" t="inlineStr">
        <is>
          <t>Establish foundational environmental protection principles and obligations covering pollution control, waste management, product regulation, environmental assessment, and decentralised State/local responsibilities—providing the overarching legal framework through which plastic waste and pollution are indirectly governed, without plastic-specific targets or measures.</t>
        </is>
      </c>
      <c r="E12" s="2" t="n">
        <v>0</v>
      </c>
      <c r="F12" s="2" t="inlineStr"/>
      <c r="G12" s="2" t="n">
        <v>1</v>
      </c>
      <c r="H12" s="2" t="inlineStr">
        <is>
          <t>Foundational environmental code enacted by the National Assembly (29 December 2000) and Senate (4 January 2001) and promulgated by the President as Law No. 2001-01; legislation adopted by parliament, not an executive regulation.</t>
        </is>
      </c>
      <c r="I12" s="2" t="n">
        <v>1</v>
      </c>
      <c r="J12" s="2" t="inlineStr">
        <is>
          <t>environment, industry, agriculture, municipalities, fisheries, water, chemicals, waste management, urban planning, packaging</t>
        </is>
      </c>
      <c r="K12" s="2" t="n">
        <v>1</v>
      </c>
      <c r="L12" s="2" t="inlineStr">
        <is>
          <t>production, consumption, recycling, disposal, environmental leakage</t>
        </is>
      </c>
      <c r="M12" s="2" t="n">
        <v>0.5</v>
      </c>
      <c r="N12" s="2" t="inlineStr">
        <is>
          <t>Art. L26: 'les travaux sont réglés sur le fonds pour la protection de l'environnement' when the polluter is unidentified. Art. L27: annual pollution and facility taxes on classified installations, including 'taxes à la pollution' calculated according to set FCFA schedules.</t>
        </is>
      </c>
      <c r="O12" s="3">
        <f>AVERAGE(G12,I12,K12,M12,P12)</f>
        <v/>
      </c>
      <c r="P12" s="2" t="n">
        <v>1</v>
      </c>
      <c r="Q12" s="2" t="inlineStr">
        <is>
          <t>Disposal</t>
        </is>
      </c>
      <c r="R12" s="2" t="inlineStr">
        <is>
          <t>Art. L42: Underground disposal (enfouissement) may only occur after Environment Ministry authorisation setting technical prescriptions and special rules.</t>
        </is>
      </c>
      <c r="S12" s="2" t="n">
        <v>1</v>
      </c>
      <c r="T12" s="2" t="n">
        <v>0.75</v>
      </c>
      <c r="U12" s="2" t="inlineStr">
        <is>
          <t>L42: 'ne peut être opéré qu'après autorisation du Ministre chargé de l'environnement qui fixe des prescriptions techniques'. Authority and conditional permitting explicit.</t>
        </is>
      </c>
      <c r="V12" s="3">
        <f>AVERAGE(P12,T12)</f>
        <v/>
      </c>
      <c r="W12" s="2" t="inlineStr">
        <is>
          <t>Governs landfill/disposal infrastructure relevant to plastic waste end-of-life.</t>
        </is>
      </c>
    </row>
    <row r="13">
      <c r="A13" s="2" t="inlineStr">
        <is>
          <t>Loi n° 2001-01 du 12 avril 2001 portant Code de l'Environnement</t>
        </is>
      </c>
      <c r="B13" s="2" t="inlineStr">
        <is>
          <t>https://www.denv.gouv.sn/telechargement/69/codes/18921/code-de-lenvironnement-2001.pdf</t>
        </is>
      </c>
      <c r="C13" s="2" t="n">
        <v>2001</v>
      </c>
      <c r="D13" s="2" t="inlineStr">
        <is>
          <t>Establish foundational environmental protection principles and obligations covering pollution control, waste management, product regulation, environmental assessment, and decentralised State/local responsibilities—providing the overarching legal framework through which plastic waste and pollution are indirectly governed, without plastic-specific targets or measures.</t>
        </is>
      </c>
      <c r="E13" s="2" t="n">
        <v>0</v>
      </c>
      <c r="F13" s="2" t="inlineStr"/>
      <c r="G13" s="2" t="n">
        <v>1</v>
      </c>
      <c r="H13" s="2" t="inlineStr">
        <is>
          <t>Foundational environmental code enacted by the National Assembly (29 December 2000) and Senate (4 January 2001) and promulgated by the President as Law No. 2001-01; legislation adopted by parliament, not an executive regulation.</t>
        </is>
      </c>
      <c r="I13" s="2" t="n">
        <v>1</v>
      </c>
      <c r="J13" s="2" t="inlineStr">
        <is>
          <t>environment, industry, agriculture, municipalities, fisheries, water, chemicals, waste management, urban planning, packaging</t>
        </is>
      </c>
      <c r="K13" s="2" t="n">
        <v>1</v>
      </c>
      <c r="L13" s="2" t="inlineStr">
        <is>
          <t>production, consumption, recycling, disposal, environmental leakage</t>
        </is>
      </c>
      <c r="M13" s="2" t="n">
        <v>0.5</v>
      </c>
      <c r="N13" s="2" t="inlineStr">
        <is>
          <t>Art. L26: 'les travaux sont réglés sur le fonds pour la protection de l'environnement' when the polluter is unidentified. Art. L27: annual pollution and facility taxes on classified installations, including 'taxes à la pollution' calculated according to set FCFA schedules.</t>
        </is>
      </c>
      <c r="O13" s="3">
        <f>AVERAGE(G13,I13,K13,M13,P13)</f>
        <v/>
      </c>
      <c r="P13" s="2" t="n">
        <v>1</v>
      </c>
      <c r="Q13" s="2" t="inlineStr">
        <is>
          <t>Production</t>
        </is>
      </c>
      <c r="R13" s="2" t="inlineStr">
        <is>
          <t>Art. L48–L51: Projects and activities likely to harm the environment, and relevant policies/plans/programmes, must undergo environmental assessment (EIA, SEA, audits); EIA content and public participation requirements specified; activity list set by decree (L50).</t>
        </is>
      </c>
      <c r="S13" s="2" t="n">
        <v>1</v>
      </c>
      <c r="T13" s="2" t="n">
        <v>0.75</v>
      </c>
      <c r="U13" s="2" t="inlineStr">
        <is>
          <t>L48: 'devront faire l'objet d'une évaluation environnementale'. L49–L51: promoter funds EIA; Ministry issues certificate; public hearing integral. L94 penalises projects without EIA. Operationalised via Décret 2001-282 and Arrêtés 9468–9472 (2001).</t>
        </is>
      </c>
      <c r="V13" s="3">
        <f>AVERAGE(P13,T13)</f>
        <v/>
      </c>
      <c r="W13" s="2" t="inlineStr">
        <is>
          <t>Applies to plastic manufacturing, recycling plants and waste facilities listed in EIA decree. L50 list-setting is enabling but exercised through subordinate regulations.</t>
        </is>
      </c>
    </row>
    <row r="14">
      <c r="A14" s="2" t="inlineStr">
        <is>
          <t>Loi n° 2001-01 du 12 avril 2001 portant Code de l'Environnement</t>
        </is>
      </c>
      <c r="B14" s="2" t="inlineStr">
        <is>
          <t>https://www.denv.gouv.sn/telechargement/69/codes/18921/code-de-lenvironnement-2001.pdf</t>
        </is>
      </c>
      <c r="C14" s="2" t="n">
        <v>2001</v>
      </c>
      <c r="D14" s="2" t="inlineStr">
        <is>
          <t>Establish foundational environmental protection principles and obligations covering pollution control, waste management, product regulation, environmental assessment, and decentralised State/local responsibilities—providing the overarching legal framework through which plastic waste and pollution are indirectly governed, without plastic-specific targets or measures.</t>
        </is>
      </c>
      <c r="E14" s="2" t="n">
        <v>0</v>
      </c>
      <c r="F14" s="2" t="inlineStr"/>
      <c r="G14" s="2" t="n">
        <v>1</v>
      </c>
      <c r="H14" s="2" t="inlineStr">
        <is>
          <t>Foundational environmental code enacted by the National Assembly (29 December 2000) and Senate (4 January 2001) and promulgated by the President as Law No. 2001-01; legislation adopted by parliament, not an executive regulation.</t>
        </is>
      </c>
      <c r="I14" s="2" t="n">
        <v>1</v>
      </c>
      <c r="J14" s="2" t="inlineStr">
        <is>
          <t>environment, industry, agriculture, municipalities, fisheries, water, chemicals, waste management, urban planning, packaging</t>
        </is>
      </c>
      <c r="K14" s="2" t="n">
        <v>1</v>
      </c>
      <c r="L14" s="2" t="inlineStr">
        <is>
          <t>production, consumption, recycling, disposal, environmental leakage</t>
        </is>
      </c>
      <c r="M14" s="2" t="n">
        <v>0.5</v>
      </c>
      <c r="N14" s="2" t="inlineStr">
        <is>
          <t>Art. L26: 'les travaux sont réglés sur le fonds pour la protection de l'environnement' when the polluter is unidentified. Art. L27: annual pollution and facility taxes on classified installations, including 'taxes à la pollution' calculated according to set FCFA schedules.</t>
        </is>
      </c>
      <c r="O14" s="3">
        <f>AVERAGE(G14,I14,K14,M14,P14)</f>
        <v/>
      </c>
      <c r="P14" s="2" t="n">
        <v>0.2</v>
      </c>
      <c r="Q14" s="2" t="inlineStr">
        <is>
          <t>Environmental leakage</t>
        </is>
      </c>
      <c r="R14" s="2" t="inlineStr">
        <is>
          <t>Art. L55: Environment Ministry prepares emergency pollution plans with other ministries; includes sea and littoral pollution response plan under the Abidjan Convention; establishes intervention committees for small/medium emergencies.</t>
        </is>
      </c>
      <c r="S14" s="2" t="n">
        <v>1</v>
      </c>
      <c r="T14" s="2" t="n">
        <v>0.5</v>
      </c>
      <c r="U14" s="2" t="inlineStr">
        <is>
          <t>L55: 'Des plans d'urgence... sont préparés par le Ministre chargé de l'environnement' and 'Le plan de lutte contre la pollution de la mer et du littoral est élaboré et adopté'. Authority designated; operational detail via PNIUM/POLMAR subordinate plans.</t>
        </is>
      </c>
      <c r="V14" s="3">
        <f>AVERAGE(P14,T14)</f>
        <v/>
      </c>
      <c r="W14" s="2" t="inlineStr">
        <is>
          <t>Institutional framework later complemented by POLMAR (2009) and CENPOLMAR (2021). Hydrocarbon-focused in practice but covers littoral pollution governance.</t>
        </is>
      </c>
    </row>
    <row r="15">
      <c r="A15" s="2" t="inlineStr">
        <is>
          <t>Loi n° 2001-01 du 12 avril 2001 portant Code de l'Environnement</t>
        </is>
      </c>
      <c r="B15" s="2" t="inlineStr">
        <is>
          <t>https://www.denv.gouv.sn/telechargement/69/codes/18921/code-de-lenvironnement-2001.pdf</t>
        </is>
      </c>
      <c r="C15" s="2" t="n">
        <v>2001</v>
      </c>
      <c r="D15" s="2" t="inlineStr">
        <is>
          <t>Establish foundational environmental protection principles and obligations covering pollution control, waste management, product regulation, environmental assessment, and decentralised State/local responsibilities—providing the overarching legal framework through which plastic waste and pollution are indirectly governed, without plastic-specific targets or measures.</t>
        </is>
      </c>
      <c r="E15" s="2" t="n">
        <v>0</v>
      </c>
      <c r="F15" s="2" t="inlineStr"/>
      <c r="G15" s="2" t="n">
        <v>1</v>
      </c>
      <c r="H15" s="2" t="inlineStr">
        <is>
          <t>Foundational environmental code enacted by the National Assembly (29 December 2000) and Senate (4 January 2001) and promulgated by the President as Law No. 2001-01; legislation adopted by parliament, not an executive regulation.</t>
        </is>
      </c>
      <c r="I15" s="2" t="n">
        <v>1</v>
      </c>
      <c r="J15" s="2" t="inlineStr">
        <is>
          <t>environment, industry, agriculture, municipalities, fisheries, water, chemicals, waste management, urban planning, packaging</t>
        </is>
      </c>
      <c r="K15" s="2" t="n">
        <v>1</v>
      </c>
      <c r="L15" s="2" t="inlineStr">
        <is>
          <t>production, consumption, recycling, disposal, environmental leakage</t>
        </is>
      </c>
      <c r="M15" s="2" t="n">
        <v>0.5</v>
      </c>
      <c r="N15" s="2" t="inlineStr">
        <is>
          <t>Art. L26: 'les travaux sont réglés sur le fonds pour la protection de l'environnement' when the polluter is unidentified. Art. L27: annual pollution and facility taxes on classified installations, including 'taxes à la pollution' calculated according to set FCFA schedules.</t>
        </is>
      </c>
      <c r="O15" s="3">
        <f>AVERAGE(G15,I15,K15,M15,P15)</f>
        <v/>
      </c>
      <c r="P15" s="2" t="n">
        <v>1</v>
      </c>
      <c r="Q15" s="2" t="inlineStr">
        <is>
          <t>Production</t>
        </is>
      </c>
      <c r="R15" s="2" t="inlineStr">
        <is>
          <t>Art. L13: Class I classified installations require prior exploitation authorisation; Class II require declaration and receipt before construction or operation—applies to plastic manufacturing/processing facilities in the ICPE nomenclature.</t>
        </is>
      </c>
      <c r="S15" s="2" t="n">
        <v>1</v>
      </c>
      <c r="T15" s="2" t="n">
        <v>1</v>
      </c>
      <c r="U15" s="2" t="inlineStr">
        <is>
          <t>L13: 'doivent faire l'objet... d'une autorisation' / 'd'une déclaration'. L22: sworn inspectors may visit installations at any time. L104–L105: administrative sanctions including suspension and closure for non-compliance.</t>
        </is>
      </c>
      <c r="V15" s="3">
        <f>AVERAGE(P15,T15)</f>
        <v/>
      </c>
      <c r="W15" s="2" t="inlineStr">
        <is>
          <t>Regulates industrial plastic production/processing installations under ICPE regime.</t>
        </is>
      </c>
    </row>
    <row r="16">
      <c r="A16" s="2" t="inlineStr">
        <is>
          <t>Loi n° 2001-01 du 12 avril 2001 portant Code de l'Environnement</t>
        </is>
      </c>
      <c r="B16" s="2" t="inlineStr">
        <is>
          <t>https://www.denv.gouv.sn/telechargement/69/codes/18921/code-de-lenvironnement-2001.pdf</t>
        </is>
      </c>
      <c r="C16" s="2" t="n">
        <v>2001</v>
      </c>
      <c r="D16" s="2" t="inlineStr">
        <is>
          <t>Establish foundational environmental protection principles and obligations covering pollution control, waste management, product regulation, environmental assessment, and decentralised State/local responsibilities—providing the overarching legal framework through which plastic waste and pollution are indirectly governed, without plastic-specific targets or measures.</t>
        </is>
      </c>
      <c r="E16" s="2" t="n">
        <v>0</v>
      </c>
      <c r="F16" s="2" t="inlineStr"/>
      <c r="G16" s="2" t="n">
        <v>1</v>
      </c>
      <c r="H16" s="2" t="inlineStr">
        <is>
          <t>Foundational environmental code enacted by the National Assembly (29 December 2000) and Senate (4 January 2001) and promulgated by the President as Law No. 2001-01; legislation adopted by parliament, not an executive regulation.</t>
        </is>
      </c>
      <c r="I16" s="2" t="n">
        <v>1</v>
      </c>
      <c r="J16" s="2" t="inlineStr">
        <is>
          <t>environment, industry, agriculture, municipalities, fisheries, water, chemicals, waste management, urban planning, packaging</t>
        </is>
      </c>
      <c r="K16" s="2" t="n">
        <v>1</v>
      </c>
      <c r="L16" s="2" t="inlineStr">
        <is>
          <t>production, consumption, recycling, disposal, environmental leakage</t>
        </is>
      </c>
      <c r="M16" s="2" t="n">
        <v>0.5</v>
      </c>
      <c r="N16" s="2" t="inlineStr">
        <is>
          <t>Art. L26: 'les travaux sont réglés sur le fonds pour la protection de l'environnement' when the polluter is unidentified. Art. L27: annual pollution and facility taxes on classified installations, including 'taxes à la pollution' calculated according to set FCFA schedules.</t>
        </is>
      </c>
      <c r="O16" s="3">
        <f>AVERAGE(G16,I16,K16,M16,P16)</f>
        <v/>
      </c>
      <c r="P16" s="2" t="n">
        <v>0.6</v>
      </c>
      <c r="Q16" s="2" t="inlineStr">
        <is>
          <t>Production</t>
        </is>
      </c>
      <c r="R16" s="2" t="inlineStr">
        <is>
          <t>Art. L27: Annual rights and taxes on classified installations including surface taxes, pressure-equipment taxes and pollution taxes calculated according to existing pollution levels; quantified FCFA schedules in the Code.</t>
        </is>
      </c>
      <c r="S16" s="2" t="n">
        <v>1</v>
      </c>
      <c r="T16" s="2" t="n">
        <v>0.75</v>
      </c>
      <c r="U16" s="2" t="inlineStr">
        <is>
          <t>L27 sets fixed FCFA amounts (e.g. 30,000 F class I; 150 F/m² equipped surface). L26: 10% monthly surcharge for late payment. Revenue collected by Environment Ministry.</t>
        </is>
      </c>
      <c r="V16" s="3">
        <f>AVERAGE(P16,T16)</f>
        <v/>
      </c>
      <c r="W16" s="2" t="inlineStr">
        <is>
          <t>Economic instrument applying to polluting industrial installations including plastics sector; not plastic-specific.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2026-07-21T09:13:49Z</dcterms:created>
  <dcterms:modified xsi:type="dcterms:W3CDTF">2026-07-21T09:13:49Z</dcterms:modified>
</cp:coreProperties>
</file>