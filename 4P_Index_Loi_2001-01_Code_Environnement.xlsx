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4P Index Cod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48" customWidth="1" min="2" max="2"/>
    <col width="10" customWidth="1" min="3" max="3"/>
    <col width="44" customWidth="1" min="4" max="4"/>
    <col width="12" customWidth="1" min="5" max="5"/>
    <col width="20" customWidth="1" min="6" max="6"/>
    <col width="10" customWidth="1" min="7" max="7"/>
    <col width="36" customWidth="1" min="8" max="8"/>
    <col width="14" customWidth="1" min="9" max="9"/>
    <col width="36" customWidth="1" min="10" max="10"/>
    <col width="14" customWidth="1" min="11" max="11"/>
    <col width="28" customWidth="1" min="12" max="12"/>
    <col width="12" customWidth="1" min="13" max="13"/>
    <col width="36" customWidth="1" min="14" max="14"/>
    <col width="12" customWidth="1" min="15" max="15"/>
    <col width="14" customWidth="1" min="16" max="16"/>
    <col width="22" customWidth="1" min="17" max="17"/>
    <col width="52" customWidth="1" min="18" max="18"/>
    <col width="14" customWidth="1" min="19" max="19"/>
    <col width="18" customWidth="1" min="20" max="20"/>
    <col width="44" customWidth="1" min="21" max="21"/>
    <col width="14" customWidth="1" min="22" max="22"/>
    <col width="44" customWidth="1" min="23" max="23"/>
  </cols>
  <sheetData>
    <row r="1">
      <c r="A1" s="1" t="inlineStr">
        <is>
          <t>A — policy_name</t>
        </is>
      </c>
      <c r="B1" s="1" t="inlineStr">
        <is>
          <t>B — policy_url</t>
        </is>
      </c>
      <c r="C1" s="1" t="inlineStr">
        <is>
          <t>C — policy_year</t>
        </is>
      </c>
      <c r="D1" s="1" t="inlineStr">
        <is>
          <t>D — policy_objective</t>
        </is>
      </c>
      <c r="E1" s="1" t="inlineStr">
        <is>
          <t>E — policy_target</t>
        </is>
      </c>
      <c r="F1" s="1" t="inlineStr">
        <is>
          <t>F — policy_target_text</t>
        </is>
      </c>
      <c r="G1" s="1" t="inlineStr">
        <is>
          <t>G — policy_type</t>
        </is>
      </c>
      <c r="H1" s="1" t="inlineStr">
        <is>
          <t>H — policy_type_justification</t>
        </is>
      </c>
      <c r="I1" s="1" t="inlineStr">
        <is>
          <t>I — policy_integration</t>
        </is>
      </c>
      <c r="J1" s="1" t="inlineStr">
        <is>
          <t>J — policy_sectors_list</t>
        </is>
      </c>
      <c r="K1" s="1" t="inlineStr">
        <is>
          <t>K — policy_circularity</t>
        </is>
      </c>
      <c r="L1" s="1" t="inlineStr">
        <is>
          <t>L — policy_lifecycle_phases_list</t>
        </is>
      </c>
      <c r="M1" s="1" t="inlineStr">
        <is>
          <t>M — policy_budget</t>
        </is>
      </c>
      <c r="N1" s="1" t="inlineStr">
        <is>
          <t>N — policy_budget_text</t>
        </is>
      </c>
      <c r="O1" s="1" t="inlineStr">
        <is>
          <t>O — policy_score</t>
        </is>
      </c>
      <c r="P1" s="1" t="inlineStr">
        <is>
          <t>P — instrument_type</t>
        </is>
      </c>
      <c r="Q1" s="1" t="inlineStr">
        <is>
          <t>Q — instrument_lifecycle_stage</t>
        </is>
      </c>
      <c r="R1" s="1" t="inlineStr">
        <is>
          <t>R — instrument_description</t>
        </is>
      </c>
      <c r="S1" s="1" t="inlineStr">
        <is>
          <t>S — instrument_in_force</t>
        </is>
      </c>
      <c r="T1" s="1" t="inlineStr">
        <is>
          <t>T — instrument_implementation</t>
        </is>
      </c>
      <c r="U1" s="1" t="inlineStr">
        <is>
          <t>U — instrument_implementation_text</t>
        </is>
      </c>
      <c r="V1" s="1" t="inlineStr">
        <is>
          <t>V — instrument_score</t>
        </is>
      </c>
      <c r="W1" s="1" t="inlineStr">
        <is>
          <t>W — comments</t>
        </is>
      </c>
    </row>
    <row r="2">
      <c r="A2" s="2" t="inlineStr">
        <is>
          <t>Law No. 2001-01 of 12 April 2001 establishing the Environmental Code</t>
        </is>
      </c>
      <c r="B2" s="2" t="inlineStr">
        <is>
          <t>https://www.denv.gouv.sn/telechargement/69/codes/18921/code-de-lenvironnement-2001.pdf</t>
        </is>
      </c>
      <c r="C2" s="2" t="n">
        <v>2001</v>
      </c>
      <c r="D2" s="2" t="inlineStr">
        <is>
          <t>Establish foundational environmental protection principles and obligations covering pollution control, waste management, product regulation, environmental assessment, and decentralised State/local responsibilities — providing the overarching legal framework through which plastic waste and pollution are indirectly governed, without plastic-specific targets or measures.</t>
        </is>
      </c>
      <c r="E2" s="2" t="n">
        <v>0</v>
      </c>
      <c r="F2" s="2" t="inlineStr"/>
      <c r="G2" s="2" t="n">
        <v>1</v>
      </c>
      <c r="H2" s="2" t="inlineStr">
        <is>
          <t>Foundational environmental code enacted by the National Assembly (29 December 2000) and Senate (4 January 2001) and promulgated by the President as Law No. 2001-01; legislation adopted by parliament, not an executive regulation.</t>
        </is>
      </c>
      <c r="I2" s="2" t="n">
        <v>1</v>
      </c>
      <c r="J2" s="2" t="inlineStr">
        <is>
          <t>environment, industry, agriculture, municipalities, fisheries, water, chemicals, waste management, urban planning, packaging</t>
        </is>
      </c>
      <c r="K2" s="2" t="n">
        <v>1</v>
      </c>
      <c r="L2" s="2" t="inlineStr">
        <is>
          <t>production, consumption, recycling, disposal, environmental leakage</t>
        </is>
      </c>
      <c r="M2" s="2" t="n">
        <v>0.5</v>
      </c>
      <c r="N2" s="2" t="inlineStr">
        <is>
          <t>Art. L26: works charged to the environmental protection fund when polluter is unidentified. Art. L27: annual pollution and facility taxes on classified installations, including pollution taxes calculated according to set FCFA schedules.</t>
        </is>
      </c>
      <c r="O2" s="3">
        <f>AVERAGE(G2,I2,K2,M2,P2)</f>
        <v/>
      </c>
      <c r="P2" s="2" t="n">
        <v>1</v>
      </c>
      <c r="Q2" s="2" t="inlineStr">
        <is>
          <t>Waste management</t>
        </is>
      </c>
      <c r="R2" s="2" t="inlineStr">
        <is>
          <t>Arts. L30–L31: all waste categories must be eliminated or recycled in an ecologically rational manner; producers/holders must ensure elimination or recycling themselves or via Ministry-licensed enterprises, or deliver waste to local authorities or State-licensed operators; recycling must comply with national standards.</t>
        </is>
      </c>
      <c r="S2" s="2" t="n">
        <v>1</v>
      </c>
      <c r="T2" s="2" t="n">
        <v>0.75</v>
      </c>
      <c r="U2" s="2" t="inlineStr">
        <is>
          <t>L31: licensed-enterprise requirement and local-authority delivery option (+0.25 authority); L38: removal at polluter's cost after formal notice (+0.25 enforcement); Title IV criminal/administrative sanctions (+0.25 monitoring). No explicit plastic mention; applies to all solid waste including plastics.</t>
        </is>
      </c>
      <c r="V2" s="3">
        <f>AVERAGE(P2,T2)</f>
        <v/>
      </c>
      <c r="W2" s="2" t="inlineStr">
        <is>
          <t>Foundational producer/holder waste obligation. Law 2023-15 replaced Law 2001-01 on 2 August 2023; substantive waste obligations largely carried forward.</t>
        </is>
      </c>
    </row>
    <row r="3">
      <c r="A3" s="2" t="inlineStr">
        <is>
          <t>Law No. 2001-01 of 12 April 2001 establishing the Environmental Code</t>
        </is>
      </c>
      <c r="B3" s="2" t="inlineStr">
        <is>
          <t>https://www.denv.gouv.sn/telechargement/69/codes/18921/code-de-lenvironnement-2001.pdf</t>
        </is>
      </c>
      <c r="C3" s="2" t="n">
        <v>2001</v>
      </c>
      <c r="D3" s="2" t="inlineStr">
        <is>
          <t>Establish foundational environmental protection principles and obligations covering pollution control, waste management, product regulation, environmental assessment, and decentralised State/local responsibilities — providing the overarching legal framework through which plastic waste and pollution are indirectly governed, without plastic-specific targets or measures.</t>
        </is>
      </c>
      <c r="E3" s="2" t="n">
        <v>0</v>
      </c>
      <c r="F3" s="2" t="inlineStr"/>
      <c r="G3" s="2" t="n">
        <v>1</v>
      </c>
      <c r="H3" s="2" t="inlineStr">
        <is>
          <t>Foundational environmental code enacted by the National Assembly (29 December 2000) and Senate (4 January 2001) and promulgated by the President as Law No. 2001-01; legislation adopted by parliament, not an executive regulation.</t>
        </is>
      </c>
      <c r="I3" s="2" t="n">
        <v>1</v>
      </c>
      <c r="J3" s="2" t="inlineStr">
        <is>
          <t>environment, industry, agriculture, municipalities, fisheries, water, chemicals, waste management, urban planning, packaging</t>
        </is>
      </c>
      <c r="K3" s="2" t="n">
        <v>1</v>
      </c>
      <c r="L3" s="2" t="inlineStr">
        <is>
          <t>production, consumption, recycling, disposal, environmental leakage</t>
        </is>
      </c>
      <c r="M3" s="2" t="n">
        <v>0.5</v>
      </c>
      <c r="N3" s="2" t="inlineStr">
        <is>
          <t>Art. L26: works charged to the environmental protection fund when polluter is unidentified. Art. L27: annual pollution and facility taxes on classified installations, including pollution taxes calculated according to set FCFA schedules.</t>
        </is>
      </c>
      <c r="O3" s="3">
        <f>AVERAGE(G3,I3,K3,M3,P3)</f>
        <v/>
      </c>
      <c r="P3" s="2" t="n">
        <v>0.2</v>
      </c>
      <c r="Q3" s="2" t="inlineStr">
        <is>
          <t>Waste management</t>
        </is>
      </c>
      <c r="R3" s="2" t="inlineStr">
        <is>
          <t>Arts. L32 and L34: local authorities and constituted groupings must ensure elimination of household waste, potentially with regional/national State services, and may collect/treat non-household waste; conditions for waste collection, sorting, storage, transport, recovery, reuse, recycling, treatment and final disposal are set by ministerial order.</t>
        </is>
      </c>
      <c r="S3" s="2" t="n">
        <v>1</v>
      </c>
      <c r="T3" s="2" t="n">
        <v>0.5</v>
      </c>
      <c r="U3" s="2" t="inlineStr">
        <is>
          <t>L32: responsible authority designated; optional special fee for non-household waste (+0.25 authority); L34: enabling provision operationalised through Decree 2001-282 and subsequent waste regulations (+0.25 monitoring). No article-specific penalty in L32.</t>
        </is>
      </c>
      <c r="V3" s="3">
        <f>AVERAGE(P3,T3)</f>
        <v/>
      </c>
      <c r="W3" s="2" t="inlineStr">
        <is>
          <t>Key governance instrument for municipal plastic waste collection; complements decentralised environment competences.</t>
        </is>
      </c>
    </row>
    <row r="4">
      <c r="A4" s="2" t="inlineStr">
        <is>
          <t>Law No. 2001-01 of 12 April 2001 establishing the Environmental Code</t>
        </is>
      </c>
      <c r="B4" s="2" t="inlineStr">
        <is>
          <t>https://www.denv.gouv.sn/telechargement/69/codes/18921/code-de-lenvironnement-2001.pdf</t>
        </is>
      </c>
      <c r="C4" s="2" t="n">
        <v>2001</v>
      </c>
      <c r="D4" s="2" t="inlineStr">
        <is>
          <t>Establish foundational environmental protection principles and obligations covering pollution control, waste management, product regulation, environmental assessment, and decentralised State/local responsibilities — providing the overarching legal framework through which plastic waste and pollution are indirectly governed, without plastic-specific targets or measures.</t>
        </is>
      </c>
      <c r="E4" s="2" t="n">
        <v>0</v>
      </c>
      <c r="F4" s="2" t="inlineStr"/>
      <c r="G4" s="2" t="n">
        <v>1</v>
      </c>
      <c r="H4" s="2" t="inlineStr">
        <is>
          <t>Foundational environmental code enacted by the National Assembly (29 December 2000) and Senate (4 January 2001) and promulgated by the President as Law No. 2001-01; legislation adopted by parliament, not an executive regulation.</t>
        </is>
      </c>
      <c r="I4" s="2" t="n">
        <v>1</v>
      </c>
      <c r="J4" s="2" t="inlineStr">
        <is>
          <t>environment, industry, agriculture, municipalities, fisheries, water, chemicals, waste management, urban planning, packaging</t>
        </is>
      </c>
      <c r="K4" s="2" t="n">
        <v>1</v>
      </c>
      <c r="L4" s="2" t="inlineStr">
        <is>
          <t>production, consumption, recycling, disposal, environmental leakage</t>
        </is>
      </c>
      <c r="M4" s="2" t="n">
        <v>0.5</v>
      </c>
      <c r="N4" s="2" t="inlineStr">
        <is>
          <t>Art. L26: works charged to the environmental protection fund when polluter is unidentified. Art. L27: annual pollution and facility taxes on classified installations, including pollution taxes calculated according to set FCFA schedules.</t>
        </is>
      </c>
      <c r="O4" s="3">
        <f>AVERAGE(G4,I4,K4,M4,P4)</f>
        <v/>
      </c>
      <c r="P4" s="2" t="n">
        <v>1</v>
      </c>
      <c r="Q4" s="2" t="inlineStr">
        <is>
          <t>Environmental leakage</t>
        </is>
      </c>
      <c r="R4" s="2" t="inlineStr">
        <is>
          <t>Arts. L35–L36: absolute prohibition on depositing waste on the public domain, including maritime public domain; public-domain concessionaires must eliminate or recycle waste found there; local authorities must stop illegal dumping and eliminate abandoned waste of unidentified ownership.</t>
        </is>
      </c>
      <c r="S4" s="2" t="n">
        <v>1</v>
      </c>
      <c r="T4" s="2" t="n">
        <v>0.75</v>
      </c>
      <c r="U4" s="2" t="inlineStr">
        <is>
          <t>L35: mandatory ban language ('absolutely prohibited') (+0.25 authority); L36: local authorities must monitor and remediate illegal dumps (+0.25 monitoring); L38 and Title IV sanctions for violations (+0.25 enforcement).</t>
        </is>
      </c>
      <c r="V4" s="3">
        <f>AVERAGE(P4,T4)</f>
        <v/>
      </c>
      <c r="W4" s="2" t="inlineStr">
        <is>
          <t>Directly relevant to littering and marine plastic leakage.</t>
        </is>
      </c>
    </row>
    <row r="5">
      <c r="A5" s="2" t="inlineStr">
        <is>
          <t>Law No. 2001-01 of 12 April 2001 establishing the Environmental Code</t>
        </is>
      </c>
      <c r="B5" s="2" t="inlineStr">
        <is>
          <t>https://www.denv.gouv.sn/telechargement/69/codes/18921/code-de-lenvironnement-2001.pdf</t>
        </is>
      </c>
      <c r="C5" s="2" t="n">
        <v>2001</v>
      </c>
      <c r="D5" s="2" t="inlineStr">
        <is>
          <t>Establish foundational environmental protection principles and obligations covering pollution control, waste management, product regulation, environmental assessment, and decentralised State/local responsibilities — providing the overarching legal framework through which plastic waste and pollution are indirectly governed, without plastic-specific targets or measures.</t>
        </is>
      </c>
      <c r="E5" s="2" t="n">
        <v>0</v>
      </c>
      <c r="F5" s="2" t="inlineStr"/>
      <c r="G5" s="2" t="n">
        <v>1</v>
      </c>
      <c r="H5" s="2" t="inlineStr">
        <is>
          <t>Foundational environmental code enacted by the National Assembly (29 December 2000) and Senate (4 January 2001) and promulgated by the President as Law No. 2001-01; legislation adopted by parliament, not an executive regulation.</t>
        </is>
      </c>
      <c r="I5" s="2" t="n">
        <v>1</v>
      </c>
      <c r="J5" s="2" t="inlineStr">
        <is>
          <t>environment, industry, agriculture, municipalities, fisheries, water, chemicals, waste management, urban planning, packaging</t>
        </is>
      </c>
      <c r="K5" s="2" t="n">
        <v>1</v>
      </c>
      <c r="L5" s="2" t="inlineStr">
        <is>
          <t>production, consumption, recycling, disposal, environmental leakage</t>
        </is>
      </c>
      <c r="M5" s="2" t="n">
        <v>0.5</v>
      </c>
      <c r="N5" s="2" t="inlineStr">
        <is>
          <t>Art. L26: works charged to the environmental protection fund when polluter is unidentified. Art. L27: annual pollution and facility taxes on classified installations, including pollution taxes calculated according to set FCFA schedules.</t>
        </is>
      </c>
      <c r="O5" s="3">
        <f>AVERAGE(G5,I5,K5,M5,P5)</f>
        <v/>
      </c>
      <c r="P5" s="2" t="n">
        <v>1</v>
      </c>
      <c r="Q5" s="2" t="inlineStr">
        <is>
          <t>End of life</t>
        </is>
      </c>
      <c r="R5" s="2" t="inlineStr">
        <is>
          <t>Art. L38: when waste is abandoned, deposited or treated contrary to the Code, the police authority must — after formal notice — remove it at the responsible party's expense and may require an escrow deposit with a public accountant.</t>
        </is>
      </c>
      <c r="S5" s="2" t="n">
        <v>1</v>
      </c>
      <c r="T5" s="2" t="n">
        <v>1</v>
      </c>
      <c r="U5" s="2" t="inlineStr">
        <is>
          <t>L38: mandatory, unconditional enforcement — police authority must remove waste at polluter's expense after formal notice (+0.25 authority); must require escrow deposit for works cost (+0.25 enforcement); cross-cutting application to all illegal waste including plastics (+0.25 monitoring); Title IV penal sanctions (+0.25 monitoring).</t>
        </is>
      </c>
      <c r="V5" s="3">
        <f>AVERAGE(P5,T5)</f>
        <v/>
      </c>
      <c r="W5" s="2" t="inlineStr">
        <is>
          <t>Cross-cutting enforcement instrument for illegal waste disposal including plastic litter.</t>
        </is>
      </c>
    </row>
    <row r="6">
      <c r="A6" s="2" t="inlineStr">
        <is>
          <t>Law No. 2001-01 of 12 April 2001 establishing the Environmental Code</t>
        </is>
      </c>
      <c r="B6" s="2" t="inlineStr">
        <is>
          <t>https://www.denv.gouv.sn/telechargement/69/codes/18921/code-de-lenvironnement-2001.pdf</t>
        </is>
      </c>
      <c r="C6" s="2" t="n">
        <v>2001</v>
      </c>
      <c r="D6" s="2" t="inlineStr">
        <is>
          <t>Establish foundational environmental protection principles and obligations covering pollution control, waste management, product regulation, environmental assessment, and decentralised State/local responsibilities — providing the overarching legal framework through which plastic waste and pollution are indirectly governed, without plastic-specific targets or measures.</t>
        </is>
      </c>
      <c r="E6" s="2" t="n">
        <v>0</v>
      </c>
      <c r="F6" s="2" t="inlineStr"/>
      <c r="G6" s="2" t="n">
        <v>1</v>
      </c>
      <c r="H6" s="2" t="inlineStr">
        <is>
          <t>Foundational environmental code enacted by the National Assembly (29 December 2000) and Senate (4 January 2001) and promulgated by the President as Law No. 2001-01; legislation adopted by parliament, not an executive regulation.</t>
        </is>
      </c>
      <c r="I6" s="2" t="n">
        <v>1</v>
      </c>
      <c r="J6" s="2" t="inlineStr">
        <is>
          <t>environment, industry, agriculture, municipalities, fisheries, water, chemicals, waste management, urban planning, packaging</t>
        </is>
      </c>
      <c r="K6" s="2" t="n">
        <v>1</v>
      </c>
      <c r="L6" s="2" t="inlineStr">
        <is>
          <t>production, consumption, recycling, disposal, environmental leakage</t>
        </is>
      </c>
      <c r="M6" s="2" t="n">
        <v>0.5</v>
      </c>
      <c r="N6" s="2" t="inlineStr">
        <is>
          <t>Art. L26: works charged to the environmental protection fund when polluter is unidentified. Art. L27: annual pollution and facility taxes on classified installations, including pollution taxes calculated according to set FCFA schedules.</t>
        </is>
      </c>
      <c r="O6" s="3">
        <f>AVERAGE(G6,I6,K6,M6,P6)</f>
        <v/>
      </c>
      <c r="P6" s="2" t="n">
        <v>1</v>
      </c>
      <c r="Q6" s="2" t="inlineStr">
        <is>
          <t>Environmental leakage</t>
        </is>
      </c>
      <c r="R6" s="2" t="inlineStr">
        <is>
          <t>Arts. L40–L41: manufacture, import, possession for sale and supply of products or materials generating waste must be regulated by joint ministerial order to facilitate waste elimination or, if necessary, prohibit them; immersion, incineration or any disposal of waste in continental, marine or fluvio-maritime waters under Senegalese jurisdiction is prohibited.</t>
        </is>
      </c>
      <c r="S6" s="2" t="n">
        <v>1</v>
      </c>
      <c r="T6" s="2" t="n">
        <v>0.75</v>
      </c>
      <c r="U6" s="2" t="inlineStr">
        <is>
          <t>L40: enabling power exercised for plastics through Law No. 2020-04 (+0.25 authority); L41: mandatory aquatic-waste ban (+0.25 enforcement); L97: marine/continental water pollution penalties — FCFA 500,000–2,000,000 and 6 months to 1 year imprisonment, doubled on recurrence (+0.25 monitoring).</t>
        </is>
      </c>
      <c r="V6" s="3">
        <f>AVERAGE(P6,T6)</f>
        <v/>
      </c>
      <c r="W6" s="2" t="inlineStr">
        <is>
          <t>Product-regulation enabling power (operationalised via Law 2020-04) and direct marine plastic pollution prohibition.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2026-07-23T10:30:36Z</dcterms:created>
  <dcterms:modified xmlns:dcterms="http://purl.org/dc/terms/" xmlns:xsi="http://www.w3.org/2001/XMLSchema-instance" xsi:type="dcterms:W3CDTF">2026-07-23T10:30:36Z</dcterms:modified>
</cp:coreProperties>
</file>