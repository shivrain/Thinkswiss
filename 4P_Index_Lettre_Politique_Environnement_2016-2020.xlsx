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Lettre de politique du secteur de l'environnement et du développement durable 2016–2020 (LPSEDD) / Policy letter for the environment and sustainable development sector 2016–2020 (LPSEDD)</t>
        </is>
      </c>
      <c r="B2" s="2" t="inlineStr">
        <is>
          <t>https://www.denv.gouv.sn/telechargement/61/documentation/18323/lettre-de-politique-du-secteur-de-lenvironnement-et-du-developpement-durable-2016-2020.pdf</t>
        </is>
      </c>
      <c r="C2" s="2" t="n">
        <v>2016</v>
      </c>
      <c r="D2"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2" s="2" t="n">
        <v>0.75</v>
      </c>
      <c r="F2"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2" s="2" t="n">
        <v>0.5</v>
      </c>
      <c r="H2"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2" s="2" t="n">
        <v>1</v>
      </c>
      <c r="J2"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2" s="2" t="n">
        <v>0.5</v>
      </c>
      <c r="L2" s="2" t="inlineStr">
        <is>
          <t>production, consommation, collecte, traitement, valorisation, élimination, gouvernance / production, consumption, collection, treatment, valorisation, disposal, governance</t>
        </is>
      </c>
      <c r="M2" s="2" t="n">
        <v>0.25</v>
      </c>
      <c r="N2" s="2" t="inlineStr">
        <is>
          <t>§II.2.3.1(c): MEDD budget fell from FCFA 31.25 billion (2011) to ~FCFA 22 billion (2015); implementation via DPPD budget-programme framework and mobilisation of innovative financing; no dedicated plastic-waste budget line.</t>
        </is>
      </c>
      <c r="O2" s="3">
        <f>AVERAGE(G2,I2,K2,M2,P2)</f>
        <v/>
      </c>
      <c r="P2" s="2" t="n">
        <v>0.5</v>
      </c>
      <c r="Q2" s="2" t="inlineStr">
        <is>
          <t>Governance</t>
        </is>
      </c>
      <c r="R2" s="2" t="inlineStr">
        <is>
          <t>Intro: LPSEDD 2016–2020 succeeds LPSERN 2009–2015; 'formulée de façon consensuelle et participative' / 'formulated consensually and participatively' with shared vision, common values, strategic axes and programmes linked to global and specific objectives.</t>
        </is>
      </c>
      <c r="S2" s="2" t="n">
        <v>0</v>
      </c>
      <c r="T2" s="2" t="n">
        <v>0.5</v>
      </c>
      <c r="U2" s="2" t="inlineStr">
        <is>
          <t>Adopted December 2015 for 2016–2020 period; operationalised through DPPD and CSPE monitoring framework (§V).</t>
        </is>
      </c>
      <c r="V2" s="3">
        <f>AVERAGE(P2,T2)</f>
        <v/>
      </c>
      <c r="W2" s="2" t="inlineStr">
        <is>
          <t>Cadre stratégique sectoriel 2016–2020 — période expirée. / Sector strategic framework 2016–2020 — period expired.</t>
        </is>
      </c>
    </row>
    <row r="3">
      <c r="A3" s="2" t="inlineStr">
        <is>
          <t>Lettre de politique du secteur de l'environnement et du développement durable 2016–2020 (LPSEDD) / Policy letter for the environment and sustainable development sector 2016–2020 (LPSEDD)</t>
        </is>
      </c>
      <c r="B3" s="2" t="inlineStr">
        <is>
          <t>https://www.denv.gouv.sn/telechargement/61/documentation/18323/lettre-de-politique-du-secteur-de-lenvironnement-et-du-developpement-durable-2016-2020.pdf</t>
        </is>
      </c>
      <c r="C3" s="2" t="n">
        <v>2016</v>
      </c>
      <c r="D3"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3" s="2" t="n">
        <v>0.75</v>
      </c>
      <c r="F3"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3" s="2" t="n">
        <v>0.5</v>
      </c>
      <c r="H3"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3" s="2" t="n">
        <v>1</v>
      </c>
      <c r="J3"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3" s="2" t="n">
        <v>0.5</v>
      </c>
      <c r="L3" s="2" t="inlineStr">
        <is>
          <t>production, consommation, collecte, traitement, valorisation, élimination, gouvernance / production, consumption, collection, treatment, valorisation, disposal, governance</t>
        </is>
      </c>
      <c r="M3" s="2" t="n">
        <v>0.25</v>
      </c>
      <c r="N3" s="2" t="inlineStr">
        <is>
          <t>§II.2.3.1(c): MEDD budget fell from FCFA 31.25 billion (2011) to ~FCFA 22 billion (2015); implementation via DPPD budget-programme framework and mobilisation of innovative financing; no dedicated plastic-waste budget line.</t>
        </is>
      </c>
      <c r="O3" s="3">
        <f>AVERAGE(G3,I3,K3,M3,P3)</f>
        <v/>
      </c>
      <c r="P3" s="2" t="n">
        <v>0.5</v>
      </c>
      <c r="Q3" s="2" t="inlineStr">
        <is>
          <t>Governance</t>
        </is>
      </c>
      <c r="R3" s="2" t="inlineStr">
        <is>
          <t>Intro/PSE: Government commits to 'une trajectoire de développement sobre en carbone' / 'a low-carbon development trajectory' and integration of sustainable-development principles into national policies to reverse natural-resource degradation.</t>
        </is>
      </c>
      <c r="S3" s="2" t="n">
        <v>0</v>
      </c>
      <c r="T3" s="2" t="n">
        <v>0.5</v>
      </c>
      <c r="U3" s="2" t="inlineStr">
        <is>
          <t>Aligned with PSE (2014–2035), national CDN and SNDD validated at 2015 National Conference on Sustainable Development.</t>
        </is>
      </c>
      <c r="V3" s="3">
        <f>AVERAGE(P3,T3)</f>
        <v/>
      </c>
      <c r="W3" s="2" t="inlineStr">
        <is>
          <t>Trajectoire bas-carbone — cadre indirect pour réduction des émissions liées aux plastiques. / Low-carbon trajectory — indirect framework for emissions linked to plastics.</t>
        </is>
      </c>
    </row>
    <row r="4">
      <c r="A4" s="2" t="inlineStr">
        <is>
          <t>Lettre de politique du secteur de l'environnement et du développement durable 2016–2020 (LPSEDD) / Policy letter for the environment and sustainable development sector 2016–2020 (LPSEDD)</t>
        </is>
      </c>
      <c r="B4" s="2" t="inlineStr">
        <is>
          <t>https://www.denv.gouv.sn/telechargement/61/documentation/18323/lettre-de-politique-du-secteur-de-lenvironnement-et-du-developpement-durable-2016-2020.pdf</t>
        </is>
      </c>
      <c r="C4" s="2" t="n">
        <v>2016</v>
      </c>
      <c r="D4"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4" s="2" t="n">
        <v>0.75</v>
      </c>
      <c r="F4"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4" s="2" t="n">
        <v>0.5</v>
      </c>
      <c r="H4"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4" s="2" t="n">
        <v>1</v>
      </c>
      <c r="J4"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4" s="2" t="n">
        <v>0.5</v>
      </c>
      <c r="L4" s="2" t="inlineStr">
        <is>
          <t>production, consommation, collecte, traitement, valorisation, élimination, gouvernance / production, consumption, collection, treatment, valorisation, disposal, governance</t>
        </is>
      </c>
      <c r="M4" s="2" t="n">
        <v>0.25</v>
      </c>
      <c r="N4" s="2" t="inlineStr">
        <is>
          <t>§II.2.3.1(c): MEDD budget fell from FCFA 31.25 billion (2011) to ~FCFA 22 billion (2015); implementation via DPPD budget-programme framework and mobilisation of innovative financing; no dedicated plastic-waste budget line.</t>
        </is>
      </c>
      <c r="O4" s="3">
        <f>AVERAGE(G4,I4,K4,M4,P4)</f>
        <v/>
      </c>
      <c r="P4" s="2" t="n">
        <v>0.5</v>
      </c>
      <c r="Q4" s="2" t="inlineStr">
        <is>
          <t>Collection</t>
        </is>
      </c>
      <c r="R4" s="2" t="inlineStr">
        <is>
          <t>§II.2.2.1: Living-environment management requires 'salubrité, de gestion adéquate des pollutions, des nuisances, des risques de catastrophes et d appui à la collecte et au traitement des déchets' / 'salubrity, adequate pollution and nuisance management, disaster-risk management and support for waste collection and treatment'.</t>
        </is>
      </c>
      <c r="S4" s="2" t="n">
        <v>0</v>
      </c>
      <c r="T4" s="2" t="n">
        <v>0.5</v>
      </c>
      <c r="U4" s="2" t="inlineStr">
        <is>
          <t>Diagnostic notes weak sorting, collection, transport and valorisation performance and absence of filière approach.</t>
        </is>
      </c>
      <c r="V4" s="3">
        <f>AVERAGE(P4,T4)</f>
        <v/>
      </c>
      <c r="W4" s="2" t="inlineStr">
        <is>
          <t>Orientation cadre de vie — collecte/traitement des déchets (incluant plastiques). / Living-environment orientation — waste collection/treatment (including plastics).</t>
        </is>
      </c>
    </row>
    <row r="5">
      <c r="A5" s="2" t="inlineStr">
        <is>
          <t>Lettre de politique du secteur de l'environnement et du développement durable 2016–2020 (LPSEDD) / Policy letter for the environment and sustainable development sector 2016–2020 (LPSEDD)</t>
        </is>
      </c>
      <c r="B5" s="2" t="inlineStr">
        <is>
          <t>https://www.denv.gouv.sn/telechargement/61/documentation/18323/lettre-de-politique-du-secteur-de-lenvironnement-et-du-developpement-durable-2016-2020.pdf</t>
        </is>
      </c>
      <c r="C5" s="2" t="n">
        <v>2016</v>
      </c>
      <c r="D5"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5" s="2" t="n">
        <v>0.75</v>
      </c>
      <c r="F5"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5" s="2" t="n">
        <v>0.5</v>
      </c>
      <c r="H5"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5" s="2" t="n">
        <v>1</v>
      </c>
      <c r="J5"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5" s="2" t="n">
        <v>0.5</v>
      </c>
      <c r="L5" s="2" t="inlineStr">
        <is>
          <t>production, consommation, collecte, traitement, valorisation, élimination, gouvernance / production, consumption, collection, treatment, valorisation, disposal, governance</t>
        </is>
      </c>
      <c r="M5" s="2" t="n">
        <v>0.25</v>
      </c>
      <c r="N5" s="2" t="inlineStr">
        <is>
          <t>§II.2.3.1(c): MEDD budget fell from FCFA 31.25 billion (2011) to ~FCFA 22 billion (2015); implementation via DPPD budget-programme framework and mobilisation of innovative financing; no dedicated plastic-waste budget line.</t>
        </is>
      </c>
      <c r="O5" s="3">
        <f>AVERAGE(G5,I5,K5,M5,P5)</f>
        <v/>
      </c>
      <c r="P5" s="2" t="n">
        <v>0.75</v>
      </c>
      <c r="Q5" s="2" t="inlineStr">
        <is>
          <t>Disposal</t>
        </is>
      </c>
      <c r="R5" s="2" t="inlineStr">
        <is>
          <t>§II.2.2.1: 'la prolifération des déchets plastiques est symptomatique de la persistance des mauvaises pratiques de consommation, du faible niveau de préparation des structures en charge de la question, et de l absence d une véritable stratégie. Son éradication demeure une priorité' / 'plastic-waste proliferation is symptomatic of persistent bad consumption practices, low preparedness of responsible structures and absence of a real strategy. Its eradication remains a priority'.</t>
        </is>
      </c>
      <c r="S5" s="2" t="n">
        <v>0</v>
      </c>
      <c r="T5" s="2" t="n">
        <v>0.5</v>
      </c>
      <c r="U5" s="2" t="inlineStr">
        <is>
          <t>Policy expects Loi banning 0–30 micron plastic bags to help; no standalone plastic-waste strategy in LPSEDD.</t>
        </is>
      </c>
      <c r="V5" s="3">
        <f>AVERAGE(P5,T5)</f>
        <v/>
      </c>
      <c r="W5" s="2" t="inlineStr">
        <is>
          <t>Mention plastique la plus explicite — priorité d'éradication des déchets plastiques. / Most explicit plastic mention — priority to eradicate plastic waste.</t>
        </is>
      </c>
    </row>
    <row r="6">
      <c r="A6" s="2" t="inlineStr">
        <is>
          <t>Lettre de politique du secteur de l'environnement et du développement durable 2016–2020 (LPSEDD) / Policy letter for the environment and sustainable development sector 2016–2020 (LPSEDD)</t>
        </is>
      </c>
      <c r="B6" s="2" t="inlineStr">
        <is>
          <t>https://www.denv.gouv.sn/telechargement/61/documentation/18323/lettre-de-politique-du-secteur-de-lenvironnement-et-du-developpement-durable-2016-2020.pdf</t>
        </is>
      </c>
      <c r="C6" s="2" t="n">
        <v>2016</v>
      </c>
      <c r="D6"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6" s="2" t="n">
        <v>0.75</v>
      </c>
      <c r="F6"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6" s="2" t="n">
        <v>0.5</v>
      </c>
      <c r="H6"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6" s="2" t="n">
        <v>1</v>
      </c>
      <c r="J6"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6" s="2" t="n">
        <v>0.5</v>
      </c>
      <c r="L6" s="2" t="inlineStr">
        <is>
          <t>production, consommation, collecte, traitement, valorisation, élimination, gouvernance / production, consumption, collection, treatment, valorisation, disposal, governance</t>
        </is>
      </c>
      <c r="M6" s="2" t="n">
        <v>0.25</v>
      </c>
      <c r="N6" s="2" t="inlineStr">
        <is>
          <t>§II.2.3.1(c): MEDD budget fell from FCFA 31.25 billion (2011) to ~FCFA 22 billion (2015); implementation via DPPD budget-programme framework and mobilisation of innovative financing; no dedicated plastic-waste budget line.</t>
        </is>
      </c>
      <c r="O6" s="3">
        <f>AVERAGE(G6,I6,K6,M6,P6)</f>
        <v/>
      </c>
      <c r="P6" s="2" t="n">
        <v>0.75</v>
      </c>
      <c r="Q6" s="2" t="inlineStr">
        <is>
          <t>Production</t>
        </is>
      </c>
      <c r="R6" s="2" t="inlineStr">
        <is>
          <t>§II.2.2.1: 'l entrée en vigueur de la loi interdisant la fabrication, la distribution et l utilisation des sachets plastiques compris entre 0 et 30 microns devrait y aider' / 'entry into force of the law prohibiting manufacture, distribution and use of plastic bags between 0 and 30 microns should help'.</t>
        </is>
      </c>
      <c r="S6" s="2" t="n">
        <v>0</v>
      </c>
      <c r="T6" s="2" t="n">
        <v>0.5</v>
      </c>
      <c r="U6" s="2" t="inlineStr">
        <is>
          <t>§II.2.3.1(b): 'la loi sur les sachets plastiques a été votée' / 'the plastic-bag law has been passed' as part of legal reform; coastal law in adoption.</t>
        </is>
      </c>
      <c r="V6" s="3">
        <f>AVERAGE(P6,T6)</f>
        <v/>
      </c>
      <c r="W6" s="2" t="inlineStr">
        <is>
          <t>Référence à la Loi 2015-09 (sachets fins) — lien direct production/distribution plastique. / Reference to Law 2015-09 (thin bags) — direct plastic production/distribution link.</t>
        </is>
      </c>
    </row>
    <row r="7">
      <c r="A7" s="2" t="inlineStr">
        <is>
          <t>Lettre de politique du secteur de l'environnement et du développement durable 2016–2020 (LPSEDD) / Policy letter for the environment and sustainable development sector 2016–2020 (LPSEDD)</t>
        </is>
      </c>
      <c r="B7" s="2" t="inlineStr">
        <is>
          <t>https://www.denv.gouv.sn/telechargement/61/documentation/18323/lettre-de-politique-du-secteur-de-lenvironnement-et-du-developpement-durable-2016-2020.pdf</t>
        </is>
      </c>
      <c r="C7" s="2" t="n">
        <v>2016</v>
      </c>
      <c r="D7"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7" s="2" t="n">
        <v>0.75</v>
      </c>
      <c r="F7"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7" s="2" t="n">
        <v>0.5</v>
      </c>
      <c r="H7"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7" s="2" t="n">
        <v>1</v>
      </c>
      <c r="J7"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7" s="2" t="n">
        <v>0.5</v>
      </c>
      <c r="L7" s="2" t="inlineStr">
        <is>
          <t>production, consommation, collecte, traitement, valorisation, élimination, gouvernance / production, consumption, collection, treatment, valorisation, disposal, governance</t>
        </is>
      </c>
      <c r="M7" s="2" t="n">
        <v>0.25</v>
      </c>
      <c r="N7" s="2" t="inlineStr">
        <is>
          <t>§II.2.3.1(c): MEDD budget fell from FCFA 31.25 billion (2011) to ~FCFA 22 billion (2015); implementation via DPPD budget-programme framework and mobilisation of innovative financing; no dedicated plastic-waste budget line.</t>
        </is>
      </c>
      <c r="O7" s="3">
        <f>AVERAGE(G7,I7,K7,M7,P7)</f>
        <v/>
      </c>
      <c r="P7" s="2" t="n">
        <v>0.5</v>
      </c>
      <c r="Q7" s="2" t="inlineStr">
        <is>
          <t>Disposal</t>
        </is>
      </c>
      <c r="R7" s="2" t="inlineStr">
        <is>
          <t>§II.2.2.1: Wild dumps, household, industrial and chemical waste and liquid discharges suffer from 'déficit d infrastructures de traitement performantes' / 'lack of effective treatment infrastructure'; natural environments and communities exposed to poor air quality and health/disaster risks.</t>
        </is>
      </c>
      <c r="S7" s="2" t="n">
        <v>0</v>
      </c>
      <c r="T7" s="2" t="n">
        <v>0.25</v>
      </c>
      <c r="U7" s="2" t="inlineStr">
        <is>
          <t>Notes weak national response capacity; no specific landfill or dumpsite closure targets in extracted text.</t>
        </is>
      </c>
      <c r="V7" s="3">
        <f>AVERAGE(P7,T7)</f>
        <v/>
      </c>
      <c r="W7" s="2" t="inlineStr">
        <is>
          <t>Diagnostic dépôts sauvages — pertinent pour déchets plastiques non collectés. / Wild-dump diagnostic — relevant for uncollected plastic waste.</t>
        </is>
      </c>
    </row>
    <row r="8">
      <c r="A8" s="2" t="inlineStr">
        <is>
          <t>Lettre de politique du secteur de l'environnement et du développement durable 2016–2020 (LPSEDD) / Policy letter for the environment and sustainable development sector 2016–2020 (LPSEDD)</t>
        </is>
      </c>
      <c r="B8" s="2" t="inlineStr">
        <is>
          <t>https://www.denv.gouv.sn/telechargement/61/documentation/18323/lettre-de-politique-du-secteur-de-lenvironnement-et-du-developpement-durable-2016-2020.pdf</t>
        </is>
      </c>
      <c r="C8" s="2" t="n">
        <v>2016</v>
      </c>
      <c r="D8"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8" s="2" t="n">
        <v>0.75</v>
      </c>
      <c r="F8"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8" s="2" t="n">
        <v>0.5</v>
      </c>
      <c r="H8"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8" s="2" t="n">
        <v>1</v>
      </c>
      <c r="J8"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8" s="2" t="n">
        <v>0.5</v>
      </c>
      <c r="L8" s="2" t="inlineStr">
        <is>
          <t>production, consommation, collecte, traitement, valorisation, élimination, gouvernance / production, consumption, collection, treatment, valorisation, disposal, governance</t>
        </is>
      </c>
      <c r="M8" s="2" t="n">
        <v>0.25</v>
      </c>
      <c r="N8" s="2" t="inlineStr">
        <is>
          <t>§II.2.3.1(c): MEDD budget fell from FCFA 31.25 billion (2011) to ~FCFA 22 billion (2015); implementation via DPPD budget-programme framework and mobilisation of innovative financing; no dedicated plastic-waste budget line.</t>
        </is>
      </c>
      <c r="O8" s="3">
        <f>AVERAGE(G8,I8,K8,M8,P8)</f>
        <v/>
      </c>
      <c r="P8" s="2" t="n">
        <v>0.5</v>
      </c>
      <c r="Q8" s="2" t="inlineStr">
        <is>
          <t>Valorisation</t>
        </is>
      </c>
      <c r="R8" s="2" t="inlineStr">
        <is>
          <t>§II.2.3.1(c): Opportunities in 'la valorisation et du recyclage des déchets plastiques' / 'valorisation and recycling of plastic waste', ecotourism, forestry, non-timber products, renewables and sustainable agriculture to complement CSR.</t>
        </is>
      </c>
      <c r="S8" s="2" t="n">
        <v>0</v>
      </c>
      <c r="T8" s="2" t="n">
        <v>0.25</v>
      </c>
      <c r="U8" s="2" t="inlineStr">
        <is>
          <t>Identified as economic opportunity; no quantified recycling targets or EPR framework in LPSEDD.</t>
        </is>
      </c>
      <c r="V8" s="3">
        <f>AVERAGE(P8,T8)</f>
        <v/>
      </c>
      <c r="W8" s="2" t="inlineStr">
        <is>
          <t>Seule mention explicite de recyclage des déchets plastiques. / Only explicit mention of plastic-waste recycling.</t>
        </is>
      </c>
    </row>
    <row r="9">
      <c r="A9" s="2" t="inlineStr">
        <is>
          <t>Lettre de politique du secteur de l'environnement et du développement durable 2016–2020 (LPSEDD) / Policy letter for the environment and sustainable development sector 2016–2020 (LPSEDD)</t>
        </is>
      </c>
      <c r="B9" s="2" t="inlineStr">
        <is>
          <t>https://www.denv.gouv.sn/telechargement/61/documentation/18323/lettre-de-politique-du-secteur-de-lenvironnement-et-du-developpement-durable-2016-2020.pdf</t>
        </is>
      </c>
      <c r="C9" s="2" t="n">
        <v>2016</v>
      </c>
      <c r="D9"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9" s="2" t="n">
        <v>0.75</v>
      </c>
      <c r="F9"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9" s="2" t="n">
        <v>0.5</v>
      </c>
      <c r="H9"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9" s="2" t="n">
        <v>1</v>
      </c>
      <c r="J9"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9" s="2" t="n">
        <v>0.5</v>
      </c>
      <c r="L9" s="2" t="inlineStr">
        <is>
          <t>production, consommation, collecte, traitement, valorisation, élimination, gouvernance / production, consumption, collection, treatment, valorisation, disposal, governance</t>
        </is>
      </c>
      <c r="M9" s="2" t="n">
        <v>0.25</v>
      </c>
      <c r="N9" s="2" t="inlineStr">
        <is>
          <t>§II.2.3.1(c): MEDD budget fell from FCFA 31.25 billion (2011) to ~FCFA 22 billion (2015); implementation via DPPD budget-programme framework and mobilisation of innovative financing; no dedicated plastic-waste budget line.</t>
        </is>
      </c>
      <c r="O9" s="3">
        <f>AVERAGE(G9,I9,K9,M9,P9)</f>
        <v/>
      </c>
      <c r="P9" s="2" t="n">
        <v>0.5</v>
      </c>
      <c r="Q9" s="2" t="inlineStr">
        <is>
          <t>Governance</t>
        </is>
      </c>
      <c r="R9" s="2" t="inlineStr">
        <is>
          <t>§II.2.3.1(b): Regulatory gaps remain for 'déchets biomédicaux, déchets d équipements électriques et électroniques' / 'biomedical waste, waste electrical and electronic equipment' and modern biotechnology products.</t>
        </is>
      </c>
      <c r="S9" s="2" t="n">
        <v>0</v>
      </c>
      <c r="T9" s="2" t="n">
        <v>0.25</v>
      </c>
      <c r="U9" s="2" t="inlineStr">
        <is>
          <t>Notes need for harmonisation of environment, forestry and mining codes with decentralisation Act III.</t>
        </is>
      </c>
      <c r="V9" s="3">
        <f>AVERAGE(P9,T9)</f>
        <v/>
      </c>
      <c r="W9" s="2" t="inlineStr">
        <is>
          <t>Lacunes DEEE/biomédicaux — pertinence indirecte (plastiques dans déchets médicaux et DEEE). / WEEE/biomedical gaps — indirect relevance (plastics in medical and e-waste).</t>
        </is>
      </c>
    </row>
    <row r="10">
      <c r="A10" s="2" t="inlineStr">
        <is>
          <t>Lettre de politique du secteur de l'environnement et du développement durable 2016–2020 (LPSEDD) / Policy letter for the environment and sustainable development sector 2016–2020 (LPSEDD)</t>
        </is>
      </c>
      <c r="B10" s="2" t="inlineStr">
        <is>
          <t>https://www.denv.gouv.sn/telechargement/61/documentation/18323/lettre-de-politique-du-secteur-de-lenvironnement-et-du-developpement-durable-2016-2020.pdf</t>
        </is>
      </c>
      <c r="C10" s="2" t="n">
        <v>2016</v>
      </c>
      <c r="D10"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10" s="2" t="n">
        <v>0.75</v>
      </c>
      <c r="F10"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10" s="2" t="n">
        <v>0.5</v>
      </c>
      <c r="H10"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10" s="2" t="n">
        <v>1</v>
      </c>
      <c r="J10"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10" s="2" t="n">
        <v>0.5</v>
      </c>
      <c r="L10" s="2" t="inlineStr">
        <is>
          <t>production, consommation, collecte, traitement, valorisation, élimination, gouvernance / production, consumption, collection, treatment, valorisation, disposal, governance</t>
        </is>
      </c>
      <c r="M10" s="2" t="n">
        <v>0.25</v>
      </c>
      <c r="N10" s="2" t="inlineStr">
        <is>
          <t>§II.2.3.1(c): MEDD budget fell from FCFA 31.25 billion (2011) to ~FCFA 22 billion (2015); implementation via DPPD budget-programme framework and mobilisation of innovative financing; no dedicated plastic-waste budget line.</t>
        </is>
      </c>
      <c r="O10" s="3">
        <f>AVERAGE(G10,I10,K10,M10,P10)</f>
        <v/>
      </c>
      <c r="P10" s="2" t="n">
        <v>0.5</v>
      </c>
      <c r="Q10" s="2" t="inlineStr">
        <is>
          <t>Marine environment</t>
        </is>
      </c>
      <c r="R10" s="2" t="inlineStr">
        <is>
          <t>§II.2.2.1: 718 km coastline and riverbanks face erosion; 'érosion côtière' / 'coastal erosion' major problem for maritime/island populations (Langue de Barbarie, Saloum); socio-economic coastal infrastructure at risk.</t>
        </is>
      </c>
      <c r="S10" s="2" t="n">
        <v>0</v>
      </c>
      <c r="T10" s="2" t="n">
        <v>0.5</v>
      </c>
      <c r="U10" s="2" t="inlineStr">
        <is>
          <t>§III Programme 3 LA31: combat coastal erosion; littoral concentrates 70% of national GDP (fisheries, tourism, ports).</t>
        </is>
      </c>
      <c r="V10" s="3">
        <f>AVERAGE(P10,T10)</f>
        <v/>
      </c>
      <c r="W10" s="2" t="inlineStr">
        <is>
          <t>Littoral — cadre indirect pour déchets plastiques marins et pollution côtière. / Coast — indirect framework for marine plastic litter and coastal pollution.</t>
        </is>
      </c>
    </row>
    <row r="11">
      <c r="A11" s="2" t="inlineStr">
        <is>
          <t>Lettre de politique du secteur de l'environnement et du développement durable 2016–2020 (LPSEDD) / Policy letter for the environment and sustainable development sector 2016–2020 (LPSEDD)</t>
        </is>
      </c>
      <c r="B11" s="2" t="inlineStr">
        <is>
          <t>https://www.denv.gouv.sn/telechargement/61/documentation/18323/lettre-de-politique-du-secteur-de-lenvironnement-et-du-developpement-durable-2016-2020.pdf</t>
        </is>
      </c>
      <c r="C11" s="2" t="n">
        <v>2016</v>
      </c>
      <c r="D11"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11" s="2" t="n">
        <v>0.75</v>
      </c>
      <c r="F11"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11" s="2" t="n">
        <v>0.5</v>
      </c>
      <c r="H11"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11" s="2" t="n">
        <v>1</v>
      </c>
      <c r="J11"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11" s="2" t="n">
        <v>0.5</v>
      </c>
      <c r="L11" s="2" t="inlineStr">
        <is>
          <t>production, consommation, collecte, traitement, valorisation, élimination, gouvernance / production, consumption, collection, treatment, valorisation, disposal, governance</t>
        </is>
      </c>
      <c r="M11" s="2" t="n">
        <v>0.25</v>
      </c>
      <c r="N11" s="2" t="inlineStr">
        <is>
          <t>§II.2.3.1(c): MEDD budget fell from FCFA 31.25 billion (2011) to ~FCFA 22 billion (2015); implementation via DPPD budget-programme framework and mobilisation of innovative financing; no dedicated plastic-waste budget line.</t>
        </is>
      </c>
      <c r="O11" s="3">
        <f>AVERAGE(G11,I11,K11,M11,P11)</f>
        <v/>
      </c>
      <c r="P11" s="2" t="n">
        <v>0.5</v>
      </c>
      <c r="Q11" s="2" t="inlineStr">
        <is>
          <t>Governance</t>
        </is>
      </c>
      <c r="R11" s="2" t="inlineStr">
        <is>
          <t>§III.3.1 Vision: 'À l horizon 2025, la gestion de l environnement et la gouvernance verte soient le socle d un Sénégal émergent, pour un développement socio-économique inclusif et durable' / 'By 2025, environmental management and green governance should underpin an emerging Senegal for inclusive, sustainable socio-economic development'.</t>
        </is>
      </c>
      <c r="S11" s="2" t="n">
        <v>0</v>
      </c>
      <c r="T11" s="2" t="n">
        <v>0.5</v>
      </c>
      <c r="U11" s="2" t="inlineStr">
        <is>
          <t>§III.3.3 Global objective: create national momentum for environmental/resource management, SD integration and climate resilience.</t>
        </is>
      </c>
      <c r="V11" s="3">
        <f>AVERAGE(P11,T11)</f>
        <v/>
      </c>
      <c r="W11" s="2" t="inlineStr">
        <is>
          <t>Vision et objectif global LPSEDD. / LPSEDD vision and global objective.</t>
        </is>
      </c>
    </row>
    <row r="12">
      <c r="A12" s="2" t="inlineStr">
        <is>
          <t>Lettre de politique du secteur de l'environnement et du développement durable 2016–2020 (LPSEDD) / Policy letter for the environment and sustainable development sector 2016–2020 (LPSEDD)</t>
        </is>
      </c>
      <c r="B12" s="2" t="inlineStr">
        <is>
          <t>https://www.denv.gouv.sn/telechargement/61/documentation/18323/lettre-de-politique-du-secteur-de-lenvironnement-et-du-developpement-durable-2016-2020.pdf</t>
        </is>
      </c>
      <c r="C12" s="2" t="n">
        <v>2016</v>
      </c>
      <c r="D12"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12" s="2" t="n">
        <v>0.75</v>
      </c>
      <c r="F12"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12" s="2" t="n">
        <v>0.5</v>
      </c>
      <c r="H12"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12" s="2" t="n">
        <v>1</v>
      </c>
      <c r="J12"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12" s="2" t="n">
        <v>0.5</v>
      </c>
      <c r="L12" s="2" t="inlineStr">
        <is>
          <t>production, consommation, collecte, traitement, valorisation, élimination, gouvernance / production, consumption, collection, treatment, valorisation, disposal, governance</t>
        </is>
      </c>
      <c r="M12" s="2" t="n">
        <v>0.25</v>
      </c>
      <c r="N12" s="2" t="inlineStr">
        <is>
          <t>§II.2.3.1(c): MEDD budget fell from FCFA 31.25 billion (2011) to ~FCFA 22 billion (2015); implementation via DPPD budget-programme framework and mobilisation of innovative financing; no dedicated plastic-waste budget line.</t>
        </is>
      </c>
      <c r="O12" s="3">
        <f>AVERAGE(G12,I12,K12,M12,P12)</f>
        <v/>
      </c>
      <c r="P12" s="2" t="n">
        <v>0.5</v>
      </c>
      <c r="Q12" s="2" t="inlineStr">
        <is>
          <t>Disposal</t>
        </is>
      </c>
      <c r="R12" s="2" t="inlineStr">
        <is>
          <t>§III.3.5.2 OS2 / Programme 3: 'Lutte contre les pollutions, les nuisances et les effets néfastes des changements climatiques' / 'Combat pollution, nuisances and adverse climate-change effects' including LA32 on hazardous chemicals/mercury waste, LA33 on EIA and air/water quality monitoring, LA34 on adaptation/mitigation.</t>
        </is>
      </c>
      <c r="S12" s="2" t="n">
        <v>0</v>
      </c>
      <c r="T12" s="2" t="n">
        <v>0.5</v>
      </c>
      <c r="U12" s="2" t="inlineStr">
        <is>
          <t>Annex 2 indicators: CO2 emissions, PGES follow-up, % population satisfied with living environment.</t>
        </is>
      </c>
      <c r="V12" s="3">
        <f>AVERAGE(P12,T12)</f>
        <v/>
      </c>
      <c r="W12" s="2" t="inlineStr">
        <is>
          <t>Programme 3 pollutions — cadre pour gestion des déchets dangereux (incl. plastiques chimiques). / Programme 3 pollution — framework for hazardous waste (incl. chemical plastics).</t>
        </is>
      </c>
    </row>
    <row r="13">
      <c r="A13" s="2" t="inlineStr">
        <is>
          <t>Lettre de politique du secteur de l'environnement et du développement durable 2016–2020 (LPSEDD) / Policy letter for the environment and sustainable development sector 2016–2020 (LPSEDD)</t>
        </is>
      </c>
      <c r="B13" s="2" t="inlineStr">
        <is>
          <t>https://www.denv.gouv.sn/telechargement/61/documentation/18323/lettre-de-politique-du-secteur-de-lenvironnement-et-du-developpement-durable-2016-2020.pdf</t>
        </is>
      </c>
      <c r="C13" s="2" t="n">
        <v>2016</v>
      </c>
      <c r="D13"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13" s="2" t="n">
        <v>0.75</v>
      </c>
      <c r="F13"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13" s="2" t="n">
        <v>0.5</v>
      </c>
      <c r="H13"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13" s="2" t="n">
        <v>1</v>
      </c>
      <c r="J13"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13" s="2" t="n">
        <v>0.5</v>
      </c>
      <c r="L13" s="2" t="inlineStr">
        <is>
          <t>production, consommation, collecte, traitement, valorisation, élimination, gouvernance / production, consumption, collection, treatment, valorisation, disposal, governance</t>
        </is>
      </c>
      <c r="M13" s="2" t="n">
        <v>0.25</v>
      </c>
      <c r="N13" s="2" t="inlineStr">
        <is>
          <t>§II.2.3.1(c): MEDD budget fell from FCFA 31.25 billion (2011) to ~FCFA 22 billion (2015); implementation via DPPD budget-programme framework and mobilisation of innovative financing; no dedicated plastic-waste budget line.</t>
        </is>
      </c>
      <c r="O13" s="3">
        <f>AVERAGE(G13,I13,K13,M13,P13)</f>
        <v/>
      </c>
      <c r="P13" s="2" t="n">
        <v>0.5</v>
      </c>
      <c r="Q13" s="2" t="inlineStr">
        <is>
          <t>Consumption</t>
        </is>
      </c>
      <c r="R13" s="2" t="inlineStr">
        <is>
          <t>§III.3.5.2 OS2: Integrate SD principles in public policies, 'la gestion du cadre de vie, la promotion de moyens d existences... et les modes de production et de consommation' / 'living-environment management, livelihood promotion... and production and consumption patterns'.</t>
        </is>
      </c>
      <c r="S13" s="2" t="n">
        <v>0</v>
      </c>
      <c r="T13" s="2" t="n">
        <v>0.5</v>
      </c>
      <c r="U13" s="2" t="inlineStr">
        <is>
          <t>§II.2.2.2: notes non-sustainable consumption/production patterns depleting resources; Programme 4 promotes green economy and environmental education.</t>
        </is>
      </c>
      <c r="V13" s="3">
        <f>AVERAGE(P13,T13)</f>
        <v/>
      </c>
      <c r="W13" s="2" t="inlineStr">
        <is>
          <t>Modes de consommation/production — pertinent pour réduction des plastiques à usage unique. / Consumption/production patterns — relevant for single-use plastic reduction.</t>
        </is>
      </c>
    </row>
    <row r="14">
      <c r="A14" s="2" t="inlineStr">
        <is>
          <t>Lettre de politique du secteur de l'environnement et du développement durable 2016–2020 (LPSEDD) / Policy letter for the environment and sustainable development sector 2016–2020 (LPSEDD)</t>
        </is>
      </c>
      <c r="B14" s="2" t="inlineStr">
        <is>
          <t>https://www.denv.gouv.sn/telechargement/61/documentation/18323/lettre-de-politique-du-secteur-de-lenvironnement-et-du-developpement-durable-2016-2020.pdf</t>
        </is>
      </c>
      <c r="C14" s="2" t="n">
        <v>2016</v>
      </c>
      <c r="D14"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14" s="2" t="n">
        <v>0.75</v>
      </c>
      <c r="F14"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14" s="2" t="n">
        <v>0.5</v>
      </c>
      <c r="H14"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14" s="2" t="n">
        <v>1</v>
      </c>
      <c r="J14"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14" s="2" t="n">
        <v>0.5</v>
      </c>
      <c r="L14" s="2" t="inlineStr">
        <is>
          <t>production, consommation, collecte, traitement, valorisation, élimination, gouvernance / production, consumption, collection, treatment, valorisation, disposal, governance</t>
        </is>
      </c>
      <c r="M14" s="2" t="n">
        <v>0.25</v>
      </c>
      <c r="N14" s="2" t="inlineStr">
        <is>
          <t>§II.2.3.1(c): MEDD budget fell from FCFA 31.25 billion (2011) to ~FCFA 22 billion (2015); implementation via DPPD budget-programme framework and mobilisation of innovative financing; no dedicated plastic-waste budget line.</t>
        </is>
      </c>
      <c r="O14" s="3">
        <f>AVERAGE(G14,I14,K14,M14,P14)</f>
        <v/>
      </c>
      <c r="P14" s="2" t="n">
        <v>0.5</v>
      </c>
      <c r="Q14" s="2" t="inlineStr">
        <is>
          <t>Governance</t>
        </is>
      </c>
      <c r="R14" s="2" t="inlineStr">
        <is>
          <t>§III Programme 4: institutional/legal reform (LA41), strengthen MEDD role in SD (LA42), environmental information and early-warning systems (LA43–44), transversal multi-actor approach (LA45), green economy and renewable energy (LA48), PPP for natural-resource/environment management (LA411).</t>
        </is>
      </c>
      <c r="S14" s="2" t="n">
        <v>0</v>
      </c>
      <c r="T14" s="2" t="n">
        <v>0.5</v>
      </c>
      <c r="U14" s="2" t="inlineStr">
        <is>
          <t>§IV: roles of local authorities (decentralised environmental competences), private sector, NGOs, parliamentarians and CSPE coordination.</t>
        </is>
      </c>
      <c r="V14" s="3">
        <f>AVERAGE(P14,T14)</f>
        <v/>
      </c>
      <c r="W14" s="2" t="inlineStr">
        <is>
          <t>Gouvernance verte et coordination multi-acteurs — cadre pour politiques déchets sectorielles. / Green governance and multi-actor coordination — framework for sectoral waste policies.</t>
        </is>
      </c>
    </row>
    <row r="15">
      <c r="A15" s="2" t="inlineStr">
        <is>
          <t>Lettre de politique du secteur de l'environnement et du développement durable 2016–2020 (LPSEDD) / Policy letter for the environment and sustainable development sector 2016–2020 (LPSEDD)</t>
        </is>
      </c>
      <c r="B15" s="2" t="inlineStr">
        <is>
          <t>https://www.denv.gouv.sn/telechargement/61/documentation/18323/lettre-de-politique-du-secteur-de-lenvironnement-et-du-developpement-durable-2016-2020.pdf</t>
        </is>
      </c>
      <c r="C15" s="2" t="n">
        <v>2016</v>
      </c>
      <c r="D15" s="2" t="inlineStr">
        <is>
          <t>Définir l'orientation stratégique du secteur environnement et développement durable pour 2016–2020 (vision, axes, programmes et lignes d'action), couvrant la gestion du cadre de vie, la lutte contre les pollutions et nuisances, la gouvernance environnementale verte, l'intégration transversale du DD dans le PSE et l'alignement ODD — avec mentions explicites de la prolifération des déchets plastiques, de la loi sur les sachets 0–30 microns et des opportunités de valorisation/recyclage des déchets plastiques. / Define strategic orientation for the environment and sustainable development sector for 2016–2020 (vision, axes, programmes and action lines), covering living-environment management, pollution and nuisance control, green environmental governance, cross-cutting SD integration in the PSE and SDG alignment — with explicit references to plastic-waste proliferation, the 0–30 micron bag law and opportunities for plastic-waste valorisation/recycling.</t>
        </is>
      </c>
      <c r="E15" s="2" t="n">
        <v>0.75</v>
      </c>
      <c r="F15" s="2" t="inlineStr">
        <is>
          <t>§II.2.2.1: 'la prolifération des déchets plastiques est symptomatique... Son éradication demeure une priorité' / 'plastic-waste proliferation is symptomatic... its eradication remains a priority'; §III.3.5.2 OS2: 'améliorer la qualité du cadre de vie par une gestion rationnelle et concertée des pollutions et nuisances' / 'improve living-environment quality through rational, concerted pollution and nuisance management'; §III Programme 3: 'Lutte contre les pollutions, les nuisances et les effets néfastes des changements climatiques' / 'Combat pollution, nuisances and adverse climate-change effects'.</t>
        </is>
      </c>
      <c r="G15" s="2" t="n">
        <v>0.5</v>
      </c>
      <c r="H15" s="2" t="inlineStr">
        <is>
          <t>Lettre de politique sectorielle validée en décembre 2015 pour la période 2016–2020. Document d'orientation stratégique et de planification ministérielle (≠1.0 loi, ≠0.75 arrêté/décret). / Sector policy letter validated December 2015 for the 2016–2020 period. Strategic orientation and ministerial planning document (≠1.0 law, ≠0.75 order/decree).</t>
        </is>
      </c>
      <c r="I15" s="2" t="n">
        <v>1</v>
      </c>
      <c r="J15" s="2" t="inlineStr">
        <is>
          <t>environnement, développement durable, cadre de vie, déchets, pollutions, climat, biodiversité, gouvernance, agriculture, pêche, industrie, mines, santé, collectivités locales / environment, sustainable development, living environment, waste, pollution, climate, biodiversity, governance, agriculture, fisheries, industry, mining, health, local government</t>
        </is>
      </c>
      <c r="K15" s="2" t="n">
        <v>0.5</v>
      </c>
      <c r="L15" s="2" t="inlineStr">
        <is>
          <t>production, consommation, collecte, traitement, valorisation, élimination, gouvernance / production, consumption, collection, treatment, valorisation, disposal, governance</t>
        </is>
      </c>
      <c r="M15" s="2" t="n">
        <v>0.25</v>
      </c>
      <c r="N15" s="2" t="inlineStr">
        <is>
          <t>§II.2.3.1(c): MEDD budget fell from FCFA 31.25 billion (2011) to ~FCFA 22 billion (2015); implementation via DPPD budget-programme framework and mobilisation of innovative financing; no dedicated plastic-waste budget line.</t>
        </is>
      </c>
      <c r="O15" s="3">
        <f>AVERAGE(G15,I15,K15,M15,P15)</f>
        <v/>
      </c>
      <c r="P15" s="2" t="n">
        <v>0.5</v>
      </c>
      <c r="Q15" s="2" t="inlineStr">
        <is>
          <t>Governance</t>
        </is>
      </c>
      <c r="R15" s="2" t="inlineStr">
        <is>
          <t>§V: MRV-based monitoring/evaluation with semi-annual indicators; mid-term and final independent evaluations; CSPE coordinates ministries, agencies, local authorities, private sector, civil society and donors.</t>
        </is>
      </c>
      <c r="S15" s="2" t="n">
        <v>0</v>
      </c>
      <c r="T15" s="2" t="n">
        <v>0.5</v>
      </c>
      <c r="U15" s="2" t="inlineStr">
        <is>
          <t>Annex 2 results framework tracks environmental state, biodiversity, CO2/habitant and PGES implementation.</t>
        </is>
      </c>
      <c r="V15" s="3">
        <f>AVERAGE(P15,T15)</f>
        <v/>
      </c>
      <c r="W15" s="2" t="inlineStr">
        <is>
          <t>Suivi-évaluation — pas d'indicateur plastique spécifique identifié. / M&amp;E framework — no plastic-specific indicator identified.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2026-07-21T14:55:55Z</dcterms:created>
  <dcterms:modified xmlns:dcterms="http://purl.org/dc/terms/" xmlns:xsi="http://www.w3.org/2001/XMLSchema-instance" xsi:type="dcterms:W3CDTF">2026-07-21T14:55:55Z</dcterms:modified>
</cp:coreProperties>
</file>