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Norme sénégalaise NS 05-062 — Pollution atmosphérique (octobre 2003) / Senegalese Standard NS 05-062 — Atmospheric pollution (October 2003)</t>
        </is>
      </c>
      <c r="B2" s="2" t="inlineStr">
        <is>
          <t>https://www.denv.gouv.sn/telechargement/74/normes-cadre-juridique/19106/norme-rejets-ns05-062-pollution-atmospherique-octobre-2003.pdf</t>
        </is>
      </c>
      <c r="C2" s="2" t="n">
        <v>2003</v>
      </c>
      <c r="D2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2" s="2" t="n">
        <v>1</v>
      </c>
      <c r="F2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2" s="2" t="n">
        <v>0.75</v>
      </c>
      <c r="H2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2" s="2" t="n">
        <v>0.75</v>
      </c>
      <c r="J2" s="2" t="inlineStr">
        <is>
          <t>industrie, environnement, énergie, transport, gestion des déchets / industry, environment, energy, transport, waste management</t>
        </is>
      </c>
      <c r="K2" s="2" t="n">
        <v>0.75</v>
      </c>
      <c r="L2" s="2" t="inlineStr">
        <is>
          <t>production, élimination, fuite environnementale / production, disposal, environmental leakage</t>
        </is>
      </c>
      <c r="M2" s="2" t="n">
        <v>0</v>
      </c>
      <c r="N2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2" s="3">
        <f>AVERAGE(G2,I2,K2,M2,P2)</f>
        <v/>
      </c>
      <c r="P2" s="2" t="n">
        <v>1</v>
      </c>
      <c r="Q2" s="2" t="inlineStr">
        <is>
          <t>Environmental leakage</t>
        </is>
      </c>
      <c r="R2" s="2" t="inlineStr">
        <is>
          <t>Ch. II §1: 'Les installations existantes et nouvelles stationnaires doivent être équipées et exploitées de manière à respecter la limitation maximale des émissions fixée aux annexes I, II, III' / 'Existing and new stationary installations must be equipped and operated so as to comply with the maximum emission limits set out in Annexes I, II and III'. §1.1.1: 'Les émissions sont captées aussi complètement et aussi près que possible de leur source' / 'Emissions must be captured as completely and as close to their source as possible'.</t>
        </is>
      </c>
      <c r="S2" s="2" t="n">
        <v>1</v>
      </c>
      <c r="T2" s="2" t="n">
        <v>0.75</v>
      </c>
      <c r="U2" s="2" t="inlineStr">
        <is>
          <t>§4.1: 'L autorité compétente s assure que les valeurs limites maximales des émissions sont respectées' / 'The competent authority ensures that maximum emission limit values are complied with'; §4.2: continuous measurement ordered for installations with significant emissions. Ch. V: operator monitoring programme with quarterly reporting.</t>
        </is>
      </c>
      <c r="V2" s="3">
        <f>AVERAGE(P2,T2)</f>
        <v/>
      </c>
      <c r="W2" s="2" t="inlineStr">
        <is>
          <t>Cadre général applicable aux émissions gazeuses des installations industrielles (incl. plasturgie). / General framework applicable to gaseous emissions from industrial installations (incl. plastics processing).</t>
        </is>
      </c>
    </row>
    <row r="3">
      <c r="A3" s="2" t="inlineStr">
        <is>
          <t>Norme sénégalaise NS 05-062 — Pollution atmosphérique (octobre 2003) / Senegalese Standard NS 05-062 — Atmospheric pollution (October 2003)</t>
        </is>
      </c>
      <c r="B3" s="2" t="inlineStr">
        <is>
          <t>https://www.denv.gouv.sn/telechargement/74/normes-cadre-juridique/19106/norme-rejets-ns05-062-pollution-atmospherique-octobre-2003.pdf</t>
        </is>
      </c>
      <c r="C3" s="2" t="n">
        <v>2003</v>
      </c>
      <c r="D3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3" s="2" t="n">
        <v>1</v>
      </c>
      <c r="F3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3" s="2" t="n">
        <v>0.75</v>
      </c>
      <c r="H3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3" s="2" t="n">
        <v>0.75</v>
      </c>
      <c r="J3" s="2" t="inlineStr">
        <is>
          <t>industrie, environnement, énergie, transport, gestion des déchets / industry, environment, energy, transport, waste management</t>
        </is>
      </c>
      <c r="K3" s="2" t="n">
        <v>0.75</v>
      </c>
      <c r="L3" s="2" t="inlineStr">
        <is>
          <t>production, élimination, fuite environnementale / production, disposal, environmental leakage</t>
        </is>
      </c>
      <c r="M3" s="2" t="n">
        <v>0</v>
      </c>
      <c r="N3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3" s="3">
        <f>AVERAGE(G3,I3,K3,M3,P3)</f>
        <v/>
      </c>
      <c r="P3" s="2" t="n">
        <v>1</v>
      </c>
      <c r="Q3" s="2" t="inlineStr">
        <is>
          <t>Environmental leakage</t>
        </is>
      </c>
      <c r="R3" s="2" t="inlineStr">
        <is>
          <t>Annexe I, tableau général: quantitative emission limits including 'Poussières totales... 100 mg/m3... 50 mg/m3' / 'Total dust... 100 mg/m3... 50 mg/m3', 'Oxydes de soufre... 500 mg/m3' / 'Sulphur oxides... 500 mg/m3', 'Oxydes d Azote... 500 mg/m3' / 'Nitrogen oxides... 500 mg/m3', 'Rejet total en composés organiques... 150 mg/m3' / 'Total organic compound emissions... 150 mg/m3', 'HAP... 20 mg/m3' / 'PAHs... 20 mg/m3'.</t>
        </is>
      </c>
      <c r="S3" s="2" t="n">
        <v>1</v>
      </c>
      <c r="T3" s="2" t="n">
        <v>1</v>
      </c>
      <c r="U3" s="2" t="inlineStr">
        <is>
          <t>§6.4: 'aucune moyenne journalière n est supérieure à la valeur limite; aucune moyenne horaire ne dépasse le double de la valeur limite' / 'no daily average exceeds the limit value; no hourly average exceeds twice the limit value' for continuous monitoring. §5.1: measurements per Senegalese atmospheric pollution analysis standards (Annexe V).</t>
        </is>
      </c>
      <c r="V3" s="3">
        <f>AVERAGE(P3,T3)</f>
        <v/>
      </c>
      <c r="W3" s="2" t="inlineStr">
        <is>
          <t>Limites quantitatives centrales pour polluants atmosphériques industriels; COT/HAP pertinents pour procédés plastiques. / Core quantitative limits for industrial air pollutants; TOC/PAHs relevant to plastic processes.</t>
        </is>
      </c>
    </row>
    <row r="4">
      <c r="A4" s="2" t="inlineStr">
        <is>
          <t>Norme sénégalaise NS 05-062 — Pollution atmosphérique (octobre 2003) / Senegalese Standard NS 05-062 — Atmospheric pollution (October 2003)</t>
        </is>
      </c>
      <c r="B4" s="2" t="inlineStr">
        <is>
          <t>https://www.denv.gouv.sn/telechargement/74/normes-cadre-juridique/19106/norme-rejets-ns05-062-pollution-atmospherique-octobre-2003.pdf</t>
        </is>
      </c>
      <c r="C4" s="2" t="n">
        <v>2003</v>
      </c>
      <c r="D4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4" s="2" t="n">
        <v>1</v>
      </c>
      <c r="F4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4" s="2" t="n">
        <v>0.75</v>
      </c>
      <c r="H4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4" s="2" t="n">
        <v>0.75</v>
      </c>
      <c r="J4" s="2" t="inlineStr">
        <is>
          <t>industrie, environnement, énergie, transport, gestion des déchets / industry, environment, energy, transport, waste management</t>
        </is>
      </c>
      <c r="K4" s="2" t="n">
        <v>0.75</v>
      </c>
      <c r="L4" s="2" t="inlineStr">
        <is>
          <t>production, élimination, fuite environnementale / production, disposal, environmental leakage</t>
        </is>
      </c>
      <c r="M4" s="2" t="n">
        <v>0</v>
      </c>
      <c r="N4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4" s="3">
        <f>AVERAGE(G4,I4,K4,M4,P4)</f>
        <v/>
      </c>
      <c r="P4" s="2" t="n">
        <v>1</v>
      </c>
      <c r="Q4" s="2" t="inlineStr">
        <is>
          <t>Disposal</t>
        </is>
      </c>
      <c r="R4" s="2" t="inlineStr">
        <is>
          <t>§8.2: 'Le brûlage à l air libre des pneumatiques, plastiques et tout autre composé renfermant des produits chimiques est interdit' / 'Open burning of tyres, plastics and any other compound containing chemical products is prohibited'.</t>
        </is>
      </c>
      <c r="S4" s="2" t="n">
        <v>1</v>
      </c>
      <c r="T4" s="2" t="n">
        <v>0.75</v>
      </c>
      <c r="U4" s="2" t="inlineStr">
        <is>
          <t>Ch. V §5: 'l autorité administrative compétente peut demander à tout moment la réalisation... de prélèvements et analyses d effluents gazeux. Les frais occasionnés sont à la charge de l exploitant' / 'the competent administrative authority may at any time request sampling and analysis of gaseous effluents. Costs are borne by the operator'.</t>
        </is>
      </c>
      <c r="V4" s="3">
        <f>AVERAGE(P4,T4)</f>
        <v/>
      </c>
      <c r="W4" s="2" t="inlineStr">
        <is>
          <t>Mention explicite des plastiques — interdiction directe du brûlage à l air libre (fin de vie, déchets). / Explicit mention of plastics — direct prohibition of open burning (end-of-life, waste).</t>
        </is>
      </c>
    </row>
    <row r="5">
      <c r="A5" s="2" t="inlineStr">
        <is>
          <t>Norme sénégalaise NS 05-062 — Pollution atmosphérique (octobre 2003) / Senegalese Standard NS 05-062 — Atmospheric pollution (October 2003)</t>
        </is>
      </c>
      <c r="B5" s="2" t="inlineStr">
        <is>
          <t>https://www.denv.gouv.sn/telechargement/74/normes-cadre-juridique/19106/norme-rejets-ns05-062-pollution-atmospherique-octobre-2003.pdf</t>
        </is>
      </c>
      <c r="C5" s="2" t="n">
        <v>2003</v>
      </c>
      <c r="D5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5" s="2" t="n">
        <v>1</v>
      </c>
      <c r="F5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5" s="2" t="n">
        <v>0.75</v>
      </c>
      <c r="H5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5" s="2" t="n">
        <v>0.75</v>
      </c>
      <c r="J5" s="2" t="inlineStr">
        <is>
          <t>industrie, environnement, énergie, transport, gestion des déchets / industry, environment, energy, transport, waste management</t>
        </is>
      </c>
      <c r="K5" s="2" t="n">
        <v>0.75</v>
      </c>
      <c r="L5" s="2" t="inlineStr">
        <is>
          <t>production, élimination, fuite environnementale / production, disposal, environmental leakage</t>
        </is>
      </c>
      <c r="M5" s="2" t="n">
        <v>0</v>
      </c>
      <c r="N5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5" s="3">
        <f>AVERAGE(G5,I5,K5,M5,P5)</f>
        <v/>
      </c>
      <c r="P5" s="2" t="n">
        <v>1</v>
      </c>
      <c r="Q5" s="2" t="inlineStr">
        <is>
          <t>Disposal</t>
        </is>
      </c>
      <c r="R5" s="2" t="inlineStr">
        <is>
          <t>§8.1: 'L incinération ou la décomposition thermique des déchets n est autorisée que dans des installations technologiquement destinées à cet effet' / 'Incineration or thermal decomposition of waste is authorised only in installations technologically designed for that purpose'. 'Les dispositions de l annexe II, lettre J sont applicables' / 'The provisions of Annex II, section J apply'.</t>
        </is>
      </c>
      <c r="S5" s="2" t="n">
        <v>1</v>
      </c>
      <c r="T5" s="2" t="n">
        <v>0.75</v>
      </c>
      <c r="U5" s="2" t="inlineStr">
        <is>
          <t>Annexe II §J §3: 'On doit mesurer et on doit enregistrer en permanence' / 'Temperature, oxygen and CO must be measured and recorded continuously' (temperature, O2, CO). §J §5.1: prohibition on incinerating urban/special waste in installations &lt;350 kW thermal power.</t>
        </is>
      </c>
      <c r="V5" s="3">
        <f>AVERAGE(P5,T5)</f>
        <v/>
      </c>
      <c r="W5" s="2" t="inlineStr">
        <is>
          <t>Gouvernance de l incinération des déchets (incl. déchets plastiques urbains/spéciaux). Complété par l arrêté interministériel n° 7358 du 5 novembre 2003. / Governance of waste incineration (incl. urban/special plastic waste). Complemented by Interministerial Order No. 7358 of 5 November 2003.</t>
        </is>
      </c>
    </row>
    <row r="6">
      <c r="A6" s="2" t="inlineStr">
        <is>
          <t>Norme sénégalaise NS 05-062 — Pollution atmosphérique (octobre 2003) / Senegalese Standard NS 05-062 — Atmospheric pollution (October 2003)</t>
        </is>
      </c>
      <c r="B6" s="2" t="inlineStr">
        <is>
          <t>https://www.denv.gouv.sn/telechargement/74/normes-cadre-juridique/19106/norme-rejets-ns05-062-pollution-atmospherique-octobre-2003.pdf</t>
        </is>
      </c>
      <c r="C6" s="2" t="n">
        <v>2003</v>
      </c>
      <c r="D6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6" s="2" t="n">
        <v>1</v>
      </c>
      <c r="F6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6" s="2" t="n">
        <v>0.75</v>
      </c>
      <c r="H6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6" s="2" t="n">
        <v>0.75</v>
      </c>
      <c r="J6" s="2" t="inlineStr">
        <is>
          <t>industrie, environnement, énergie, transport, gestion des déchets / industry, environment, energy, transport, waste management</t>
        </is>
      </c>
      <c r="K6" s="2" t="n">
        <v>0.75</v>
      </c>
      <c r="L6" s="2" t="inlineStr">
        <is>
          <t>production, élimination, fuite environnementale / production, disposal, environmental leakage</t>
        </is>
      </c>
      <c r="M6" s="2" t="n">
        <v>0</v>
      </c>
      <c r="N6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6" s="3">
        <f>AVERAGE(G6,I6,K6,M6,P6)</f>
        <v/>
      </c>
      <c r="P6" s="2" t="n">
        <v>1</v>
      </c>
      <c r="Q6" s="2" t="inlineStr">
        <is>
          <t>Disposal</t>
        </is>
      </c>
      <c r="R6" s="2" t="inlineStr">
        <is>
          <t>Annexe II §J §2: Waste incineration emission limits — 'Poussières : 10 mg/m3' / 'Dust: 10 mg/m3', 'Matières organiques sous forme de gaz, exprimées en carbone total : 50 mg/m3' / 'Organic matter in gaseous form, expressed as total carbon: 50 mg/m3', 'Oxydes de soufre : 50 mg/m3' / 'Sulphur oxides: 50 mg/m3', 'Oxydes d azote : 80 mg/m3' / 'Nitrogen oxides: 80 mg/m3', 'Mercure et cadmium : 0,1 mg/m3' / 'Mercury and cadmium: 0.1 mg/m3' per substance.</t>
        </is>
      </c>
      <c r="S6" s="2" t="n">
        <v>1</v>
      </c>
      <c r="T6" s="2" t="n">
        <v>1</v>
      </c>
      <c r="U6" s="2" t="inlineStr">
        <is>
          <t>Annexe II §J §3: 'On doit surveiller en permanence le fonctionnement de l installation d épuration des gaz' / 'Continuous monitoring of gas treatment plant operation' (temperature, pressure drop or scrubber flow). §J §6.1: trial burns required before incinerating particularly dangerous waste.</t>
        </is>
      </c>
      <c r="V6" s="3">
        <f>AVERAGE(P6,T6)</f>
        <v/>
      </c>
      <c r="W6" s="2" t="inlineStr">
        <is>
          <t>Seuils stricts pour incinérateurs de déchets; pertinence directe pour élimination thermique des déchets plastiques. / Strict thresholds for waste incinerators; direct relevance for thermal disposal of plastic waste.</t>
        </is>
      </c>
    </row>
    <row r="7">
      <c r="A7" s="2" t="inlineStr">
        <is>
          <t>Norme sénégalaise NS 05-062 — Pollution atmosphérique (octobre 2003) / Senegalese Standard NS 05-062 — Atmospheric pollution (October 2003)</t>
        </is>
      </c>
      <c r="B7" s="2" t="inlineStr">
        <is>
          <t>https://www.denv.gouv.sn/telechargement/74/normes-cadre-juridique/19106/norme-rejets-ns05-062-pollution-atmospherique-octobre-2003.pdf</t>
        </is>
      </c>
      <c r="C7" s="2" t="n">
        <v>2003</v>
      </c>
      <c r="D7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7" s="2" t="n">
        <v>1</v>
      </c>
      <c r="F7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7" s="2" t="n">
        <v>0.75</v>
      </c>
      <c r="H7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7" s="2" t="n">
        <v>0.75</v>
      </c>
      <c r="J7" s="2" t="inlineStr">
        <is>
          <t>industrie, environnement, énergie, transport, gestion des déchets / industry, environment, energy, transport, waste management</t>
        </is>
      </c>
      <c r="K7" s="2" t="n">
        <v>0.75</v>
      </c>
      <c r="L7" s="2" t="inlineStr">
        <is>
          <t>production, élimination, fuite environnementale / production, disposal, environmental leakage</t>
        </is>
      </c>
      <c r="M7" s="2" t="n">
        <v>0</v>
      </c>
      <c r="N7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7" s="3">
        <f>AVERAGE(G7,I7,K7,M7,P7)</f>
        <v/>
      </c>
      <c r="P7" s="2" t="n">
        <v>1</v>
      </c>
      <c r="Q7" s="2" t="inlineStr">
        <is>
          <t>Disposal</t>
        </is>
      </c>
      <c r="R7" s="2" t="inlineStr">
        <is>
          <t>Annexe II §J §5.1: 'Il est interdit d incinérer des déchets urbains et des déchets spéciaux dans des installations d une puissance calorifique inférieure à 350 kW' / 'It is prohibited to incinerate urban waste and special waste in installations with thermal power below 350 kW'.</t>
        </is>
      </c>
      <c r="S7" s="2" t="n">
        <v>1</v>
      </c>
      <c r="T7" s="2" t="n">
        <v>0.75</v>
      </c>
      <c r="U7" s="2" t="inlineStr">
        <is>
          <t>§3.1: operators must declare 'la nature et la quantité des émissions' / 'the nature and quantity of emissions' to the competent authority. Ch. V §4: quarterly transmission of measurement results.</t>
        </is>
      </c>
      <c r="V7" s="3">
        <f>AVERAGE(P7,T7)</f>
        <v/>
      </c>
      <c r="W7" s="2" t="inlineStr">
        <is>
          <t>Interdit les petits brûleurs sauvages pour déchets urbains/spéciaux (incl. plastiques). Exception pour déchets hospitaliers spécifiques (§5.2). / Prohibits small uncontrolled burners for urban/special waste (incl. plastics). Exception for specific hospital waste (§5.2).</t>
        </is>
      </c>
    </row>
    <row r="8">
      <c r="A8" s="2" t="inlineStr">
        <is>
          <t>Norme sénégalaise NS 05-062 — Pollution atmosphérique (octobre 2003) / Senegalese Standard NS 05-062 — Atmospheric pollution (October 2003)</t>
        </is>
      </c>
      <c r="B8" s="2" t="inlineStr">
        <is>
          <t>https://www.denv.gouv.sn/telechargement/74/normes-cadre-juridique/19106/norme-rejets-ns05-062-pollution-atmospherique-octobre-2003.pdf</t>
        </is>
      </c>
      <c r="C8" s="2" t="n">
        <v>2003</v>
      </c>
      <c r="D8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8" s="2" t="n">
        <v>1</v>
      </c>
      <c r="F8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8" s="2" t="n">
        <v>0.75</v>
      </c>
      <c r="H8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8" s="2" t="n">
        <v>0.75</v>
      </c>
      <c r="J8" s="2" t="inlineStr">
        <is>
          <t>industrie, environnement, énergie, transport, gestion des déchets / industry, environment, energy, transport, waste management</t>
        </is>
      </c>
      <c r="K8" s="2" t="n">
        <v>0.75</v>
      </c>
      <c r="L8" s="2" t="inlineStr">
        <is>
          <t>production, élimination, fuite environnementale / production, disposal, environmental leakage</t>
        </is>
      </c>
      <c r="M8" s="2" t="n">
        <v>0</v>
      </c>
      <c r="N8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8" s="3">
        <f>AVERAGE(G8,I8,K8,M8,P8)</f>
        <v/>
      </c>
      <c r="P8" s="2" t="n">
        <v>1</v>
      </c>
      <c r="Q8" s="2" t="inlineStr">
        <is>
          <t>Production</t>
        </is>
      </c>
      <c r="R8" s="2" t="inlineStr">
        <is>
          <t>Annexe II §K: 'Les dispositions s appliquent aux installations destinées au traitement des surfaces d objets et de produits en métal, verre, céramique, matières plastiques, caoutchouc, ou autres matières' / 'The provisions apply to installations for surface treatment of objects and products in metal, glass, ceramic, plastic materials, rubber or other materials' by halogenated hydrocarbons with boiling point &lt;1013 mbar. §K §2b: 'le débit massique des émissions d hydrocarbures halogénés... ne doit pas dépasser 100 g/h' / 'mass flow of halogenated hydrocarbon emissions must not exceed 100 g/h' (Annexe I) and '25 g/h' / '25 g/h' (Annexe III).</t>
        </is>
      </c>
      <c r="S8" s="2" t="n">
        <v>1</v>
      </c>
      <c r="T8" s="2" t="n">
        <v>0.75</v>
      </c>
      <c r="U8" s="2" t="inlineStr">
        <is>
          <t>§K §2a: 'les objets et les produits doivent être traités dans une enceinte fermée' / 'objects and products must be treated in a closed enclosure'. §K §2c: 'les émissions seront réduites au moyen d un système de récupération des vapeurs' / 'emissions must be reduced by means of a vapour recovery system' or equivalent measure.</t>
        </is>
      </c>
      <c r="V8" s="3">
        <f>AVERAGE(P8,T8)</f>
        <v/>
      </c>
      <c r="W8" s="2" t="inlineStr">
        <is>
          <t>Mention explicite des matières plastiques — traitement de surface industriel (dégraissage, revêtement). / Explicit mention of plastic materials — industrial surface treatment (degreasing, coating).</t>
        </is>
      </c>
    </row>
    <row r="9">
      <c r="A9" s="2" t="inlineStr">
        <is>
          <t>Norme sénégalaise NS 05-062 — Pollution atmosphérique (octobre 2003) / Senegalese Standard NS 05-062 — Atmospheric pollution (October 2003)</t>
        </is>
      </c>
      <c r="B9" s="2" t="inlineStr">
        <is>
          <t>https://www.denv.gouv.sn/telechargement/74/normes-cadre-juridique/19106/norme-rejets-ns05-062-pollution-atmospherique-octobre-2003.pdf</t>
        </is>
      </c>
      <c r="C9" s="2" t="n">
        <v>2003</v>
      </c>
      <c r="D9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9" s="2" t="n">
        <v>1</v>
      </c>
      <c r="F9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9" s="2" t="n">
        <v>0.75</v>
      </c>
      <c r="H9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9" s="2" t="n">
        <v>0.75</v>
      </c>
      <c r="J9" s="2" t="inlineStr">
        <is>
          <t>industrie, environnement, énergie, transport, gestion des déchets / industry, environment, energy, transport, waste management</t>
        </is>
      </c>
      <c r="K9" s="2" t="n">
        <v>0.75</v>
      </c>
      <c r="L9" s="2" t="inlineStr">
        <is>
          <t>production, élimination, fuite environnementale / production, disposal, environmental leakage</t>
        </is>
      </c>
      <c r="M9" s="2" t="n">
        <v>0</v>
      </c>
      <c r="N9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9" s="3">
        <f>AVERAGE(G9,I9,K9,M9,P9)</f>
        <v/>
      </c>
      <c r="P9" s="2" t="n">
        <v>0.8</v>
      </c>
      <c r="Q9" s="2" t="inlineStr">
        <is>
          <t>Environmental leakage</t>
        </is>
      </c>
      <c r="R9" s="2" t="inlineStr">
        <is>
          <t>Ch. III &amp; Annexe I (tableau immissions): ambient air quality limits including 'Anhydride sulfureux (SO2) : 50 mg/m3 (moyenne annuelle); 125 ug/m3 (moyenne journalière)' / 'Sulphur dioxide (SO2): 50 mg/m3 (annual average); 125 ug/m3 (daily average)', 'Dioxyde d azote (NO2) : 200 mg/m3 (moyenne horaire); 40 ug/m3 (moyenne annuelle)' / 'Nitrogen dioxide (NO2): 200 mg/m3 (hourly average); 40 ug/m3 (annual average)', 'Poussières en suspension (PM10) : 80 ug/m3 (moyenne annuelle)' / 'Suspended dust (PM10): 80 ug/m3 (annual average)'.</t>
        </is>
      </c>
      <c r="S9" s="2" t="n">
        <v>1</v>
      </c>
      <c r="T9" s="2" t="n">
        <v>0.5</v>
      </c>
      <c r="U9" s="2" t="inlineStr">
        <is>
          <t>Ch. III §1.1: 'L autorité compétente surveille l état et l évolution de la pollution de l air sur le territoire national' / 'The competent authority monitors the state and evolution of air pollution on the national territory'. §2.1: immission forecasts may be required before construction of high-emission installations.</t>
        </is>
      </c>
      <c r="V9" s="3">
        <f>AVERAGE(P9,T9)</f>
        <v/>
      </c>
      <c r="W9" s="2" t="inlineStr">
        <is>
          <t>Normes de qualité de l air ambiant; protection indirecte contre les émissions industrielles (particules, NOx, SO2). / Ambient air quality standards; indirect protection against industrial emissions (particles, NOx, SO2).</t>
        </is>
      </c>
    </row>
    <row r="10">
      <c r="A10" s="2" t="inlineStr">
        <is>
          <t>Norme sénégalaise NS 05-062 — Pollution atmosphérique (octobre 2003) / Senegalese Standard NS 05-062 — Atmospheric pollution (October 2003)</t>
        </is>
      </c>
      <c r="B10" s="2" t="inlineStr">
        <is>
          <t>https://www.denv.gouv.sn/telechargement/74/normes-cadre-juridique/19106/norme-rejets-ns05-062-pollution-atmospherique-octobre-2003.pdf</t>
        </is>
      </c>
      <c r="C10" s="2" t="n">
        <v>2003</v>
      </c>
      <c r="D10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10" s="2" t="n">
        <v>1</v>
      </c>
      <c r="F10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10" s="2" t="n">
        <v>0.75</v>
      </c>
      <c r="H10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10" s="2" t="n">
        <v>0.75</v>
      </c>
      <c r="J10" s="2" t="inlineStr">
        <is>
          <t>industrie, environnement, énergie, transport, gestion des déchets / industry, environment, energy, transport, waste management</t>
        </is>
      </c>
      <c r="K10" s="2" t="n">
        <v>0.75</v>
      </c>
      <c r="L10" s="2" t="inlineStr">
        <is>
          <t>production, élimination, fuite environnementale / production, disposal, environmental leakage</t>
        </is>
      </c>
      <c r="M10" s="2" t="n">
        <v>0</v>
      </c>
      <c r="N10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10" s="3">
        <f>AVERAGE(G10,I10,K10,M10,P10)</f>
        <v/>
      </c>
      <c r="P10" s="2" t="n">
        <v>0.8</v>
      </c>
      <c r="Q10" s="2" t="inlineStr">
        <is>
          <t>Environmental leakage</t>
        </is>
      </c>
      <c r="R10" s="2" t="inlineStr">
        <is>
          <t>§9.1.1: 'Les dispositions de la norme sénégalaise NS 05-060 sont applicables' / 'The provisions of Senegalese Standard NS 05-060 apply' for CO, volatile hydrocarbons (HC) and smoke opacity from motor vehicles.</t>
        </is>
      </c>
      <c r="S10" s="2" t="n">
        <v>1</v>
      </c>
      <c r="T10" s="2" t="n">
        <v>0.5</v>
      </c>
      <c r="U10" s="2" t="inlineStr">
        <is>
          <t>§5.1: 'Pour les véhicules les dispositions relatives aux méthodes de mesure contenues dans la norme sénégalaise NS 05-060 sont applicables' / 'For vehicles, the measurement method provisions in Senegalese Standard NS 05-060 apply'. §9.1.2: new automotive industries must also comply with international construction standards.</t>
        </is>
      </c>
      <c r="V10" s="3">
        <f>AVERAGE(P10,T10)</f>
        <v/>
      </c>
      <c r="W10" s="2" t="inlineStr">
        <is>
          <t>Référence croisée à NS 05-060 pour émissions véhicules; pertinence indirecte pour transport de déchets plastiques. / Cross-reference to NS 05-060 for vehicle emissions; indirect relevance for transport of plastic waste.</t>
        </is>
      </c>
    </row>
    <row r="11">
      <c r="A11" s="2" t="inlineStr">
        <is>
          <t>Norme sénégalaise NS 05-062 — Pollution atmosphérique (octobre 2003) / Senegalese Standard NS 05-062 — Atmospheric pollution (October 2003)</t>
        </is>
      </c>
      <c r="B11" s="2" t="inlineStr">
        <is>
          <t>https://www.denv.gouv.sn/telechargement/74/normes-cadre-juridique/19106/norme-rejets-ns05-062-pollution-atmospherique-octobre-2003.pdf</t>
        </is>
      </c>
      <c r="C11" s="2" t="n">
        <v>2003</v>
      </c>
      <c r="D11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11" s="2" t="n">
        <v>1</v>
      </c>
      <c r="F11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11" s="2" t="n">
        <v>0.75</v>
      </c>
      <c r="H11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11" s="2" t="n">
        <v>0.75</v>
      </c>
      <c r="J11" s="2" t="inlineStr">
        <is>
          <t>industrie, environnement, énergie, transport, gestion des déchets / industry, environment, energy, transport, waste management</t>
        </is>
      </c>
      <c r="K11" s="2" t="n">
        <v>0.75</v>
      </c>
      <c r="L11" s="2" t="inlineStr">
        <is>
          <t>production, élimination, fuite environnementale / production, disposal, environmental leakage</t>
        </is>
      </c>
      <c r="M11" s="2" t="n">
        <v>0</v>
      </c>
      <c r="N11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11" s="3">
        <f>AVERAGE(G11,I11,K11,M11,P11)</f>
        <v/>
      </c>
      <c r="P11" s="2" t="n">
        <v>0.8</v>
      </c>
      <c r="Q11" s="2" t="inlineStr">
        <is>
          <t>Production</t>
        </is>
      </c>
      <c r="R11" s="2" t="inlineStr">
        <is>
          <t>Ch. V: 'L exploitant doit mettre en place un programme de surveillance de ses rejets' / 'The operator must establish a monitoring programme for its discharges'. §4: 'Les résultats des mesures sont transmis au moins trimestriellement à l autorité administrative compétente' / 'Measurement results are transmitted to the competent administrative authority at least quarterly'.</t>
        </is>
      </c>
      <c r="S11" s="2" t="n">
        <v>1</v>
      </c>
      <c r="T11" s="2" t="n">
        <v>0.75</v>
      </c>
      <c r="U11" s="2" t="inlineStr">
        <is>
          <t>Ch. V §3: when pollutant quantities exceed limits, 'l arrêté d autorisation doit fixer la liste des paramètres à mesurer et la fréquence des mesures' / 'the authorisation order must set the list of parameters to measure and measurement frequency'; at least once per year by an approved body. §2: continuous monitoring of representative parameters may replace specific pollutant measurements.</t>
        </is>
      </c>
      <c r="V11" s="3">
        <f>AVERAGE(P11,T11)</f>
        <v/>
      </c>
      <c r="W11" s="2" t="inlineStr">
        <is>
          <t>Obligation d auto-surveillance et reporting trimestriel pour toutes installations soumises à la norme. / Self-monitoring and quarterly reporting obligation for all installations subject to the standard.</t>
        </is>
      </c>
    </row>
    <row r="12">
      <c r="A12" s="2" t="inlineStr">
        <is>
          <t>Norme sénégalaise NS 05-062 — Pollution atmosphérique (octobre 2003) / Senegalese Standard NS 05-062 — Atmospheric pollution (October 2003)</t>
        </is>
      </c>
      <c r="B12" s="2" t="inlineStr">
        <is>
          <t>https://www.denv.gouv.sn/telechargement/74/normes-cadre-juridique/19106/norme-rejets-ns05-062-pollution-atmospherique-octobre-2003.pdf</t>
        </is>
      </c>
      <c r="C12" s="2" t="n">
        <v>2003</v>
      </c>
      <c r="D12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12" s="2" t="n">
        <v>1</v>
      </c>
      <c r="F12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12" s="2" t="n">
        <v>0.75</v>
      </c>
      <c r="H12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12" s="2" t="n">
        <v>0.75</v>
      </c>
      <c r="J12" s="2" t="inlineStr">
        <is>
          <t>industrie, environnement, énergie, transport, gestion des déchets / industry, environment, energy, transport, waste management</t>
        </is>
      </c>
      <c r="K12" s="2" t="n">
        <v>0.75</v>
      </c>
      <c r="L12" s="2" t="inlineStr">
        <is>
          <t>production, élimination, fuite environnementale / production, disposal, environmental leakage</t>
        </is>
      </c>
      <c r="M12" s="2" t="n">
        <v>0</v>
      </c>
      <c r="N12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12" s="3">
        <f>AVERAGE(G12,I12,K12,M12,P12)</f>
        <v/>
      </c>
      <c r="P12" s="2" t="n">
        <v>0.75</v>
      </c>
      <c r="Q12" s="2" t="inlineStr">
        <is>
          <t>Production</t>
        </is>
      </c>
      <c r="R12" s="2" t="inlineStr">
        <is>
          <t>§4.1–4.2: 'L autorité compétente... procède elle-même à des mesures ou à des contrôles des émissions ou les fait exécuter par des services ou organismes agréés' / 'The competent authority... itself carries out emission measurements or controls, or has them carried out by approved services or bodies'. §4.2: 'ces émissions... soient mesurées et enregistrées en permanence' / 'these emissions... must be measured and recorded continuously' for installations with significant emissions.</t>
        </is>
      </c>
      <c r="S12" s="2" t="n">
        <v>1</v>
      </c>
      <c r="T12" s="2" t="n">
        <v>0.75</v>
      </c>
      <c r="U12" s="2" t="inlineStr">
        <is>
          <t>§5.3: 'Les valeurs mesurées et les valeurs calculées... sont consignées dans un rapport tenu par le détenteur de l installation, visé par les services agréés' / 'Measured and calculated values... are recorded in a report kept by the installation holder, endorsed by approved services'. Ch. IV §4: mandatory sampling and measurement points on discharge pipelines.</t>
        </is>
      </c>
      <c r="V12" s="3">
        <f>AVERAGE(P12,T12)</f>
        <v/>
      </c>
      <c r="W12" s="2" t="inlineStr">
        <is>
          <t>Contrôle autorité + mesure continue pour grandes installations industrielles (raffineries, incinérateurs, usines chimiques/plastiques). / Authority control + continuous measurement for large industrial installations (refineries, incinerators, chemical/plastics plants).</t>
        </is>
      </c>
    </row>
    <row r="13">
      <c r="A13" s="2" t="inlineStr">
        <is>
          <t>Norme sénégalaise NS 05-062 — Pollution atmosphérique (octobre 2003) / Senegalese Standard NS 05-062 — Atmospheric pollution (October 2003)</t>
        </is>
      </c>
      <c r="B13" s="2" t="inlineStr">
        <is>
          <t>https://www.denv.gouv.sn/telechargement/74/normes-cadre-juridique/19106/norme-rejets-ns05-062-pollution-atmospherique-octobre-2003.pdf</t>
        </is>
      </c>
      <c r="C13" s="2" t="n">
        <v>2003</v>
      </c>
      <c r="D13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13" s="2" t="n">
        <v>1</v>
      </c>
      <c r="F13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13" s="2" t="n">
        <v>0.75</v>
      </c>
      <c r="H13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13" s="2" t="n">
        <v>0.75</v>
      </c>
      <c r="J13" s="2" t="inlineStr">
        <is>
          <t>industrie, environnement, énergie, transport, gestion des déchets / industry, environment, energy, transport, waste management</t>
        </is>
      </c>
      <c r="K13" s="2" t="n">
        <v>0.75</v>
      </c>
      <c r="L13" s="2" t="inlineStr">
        <is>
          <t>production, élimination, fuite environnementale / production, disposal, environmental leakage</t>
        </is>
      </c>
      <c r="M13" s="2" t="n">
        <v>0</v>
      </c>
      <c r="N13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13" s="3">
        <f>AVERAGE(G13,I13,K13,M13,P13)</f>
        <v/>
      </c>
      <c r="P13" s="2" t="n">
        <v>1</v>
      </c>
      <c r="Q13" s="2" t="inlineStr">
        <is>
          <t>Environmental leakage</t>
        </is>
      </c>
      <c r="R13" s="2" t="inlineStr">
        <is>
          <t>§6.4: For continuous emission monitoring, limits are met if during a calendar year 'aucune moyenne journalière n est supérieure à la valeur limite' / 'no daily average exceeds the limit value' and 'aucune moyenne horaire ne dépasse le double de la valeur limite' / 'no hourly average exceeds twice the limit value'.</t>
        </is>
      </c>
      <c r="S13" s="2" t="n">
        <v>1</v>
      </c>
      <c r="T13" s="2" t="n">
        <v>1</v>
      </c>
      <c r="U13" s="2" t="inlineStr">
        <is>
          <t>§6.2: 'les valeurs calculées... sont converties en moyenne horaire' / 'calculated values... are converted to hourly averages'. §6.5: when the same pollutant is discharged through multiple outlets, 'le flux total de l ensemble des rejets est rapporté aux valeurs limites' / 'the total flow of all discharges is compared to the limit values'.</t>
        </is>
      </c>
      <c r="V13" s="3">
        <f>AVERAGE(P13,T13)</f>
        <v/>
      </c>
      <c r="W13" s="2" t="inlineStr">
        <is>
          <t>Critères de conformité quantitatifs et opérationnels pour l appréciation des émissions continues. / Quantitative and operational compliance criteria for assessing continuous emissions.</t>
        </is>
      </c>
    </row>
    <row r="14">
      <c r="A14" s="2" t="inlineStr">
        <is>
          <t>Norme sénégalaise NS 05-062 — Pollution atmosphérique (octobre 2003) / Senegalese Standard NS 05-062 — Atmospheric pollution (October 2003)</t>
        </is>
      </c>
      <c r="B14" s="2" t="inlineStr">
        <is>
          <t>https://www.denv.gouv.sn/telechargement/74/normes-cadre-juridique/19106/norme-rejets-ns05-062-pollution-atmospherique-octobre-2003.pdf</t>
        </is>
      </c>
      <c r="C14" s="2" t="n">
        <v>2003</v>
      </c>
      <c r="D14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14" s="2" t="n">
        <v>1</v>
      </c>
      <c r="F14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14" s="2" t="n">
        <v>0.75</v>
      </c>
      <c r="H14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14" s="2" t="n">
        <v>0.75</v>
      </c>
      <c r="J14" s="2" t="inlineStr">
        <is>
          <t>industrie, environnement, énergie, transport, gestion des déchets / industry, environment, energy, transport, waste management</t>
        </is>
      </c>
      <c r="K14" s="2" t="n">
        <v>0.75</v>
      </c>
      <c r="L14" s="2" t="inlineStr">
        <is>
          <t>production, élimination, fuite environnementale / production, disposal, environmental leakage</t>
        </is>
      </c>
      <c r="M14" s="2" t="n">
        <v>0</v>
      </c>
      <c r="N14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14" s="3">
        <f>AVERAGE(G14,I14,K14,M14,P14)</f>
        <v/>
      </c>
      <c r="P14" s="2" t="n">
        <v>0.6</v>
      </c>
      <c r="Q14" s="2" t="inlineStr">
        <is>
          <t>Production</t>
        </is>
      </c>
      <c r="R14" s="2" t="inlineStr">
        <is>
          <t>Annexe IV: 'La hauteur de cheminée... ne peut être inférieure à 10 m' / 'Chimney height... may not be less than 10 m'. Height calculated as S = kq/c_m where k=340 (gases) or 680 (dust), based on pollutant emission rate and admissible ground-level concentration.</t>
        </is>
      </c>
      <c r="S14" s="2" t="n">
        <v>1</v>
      </c>
      <c r="T14" s="2" t="n">
        <v>0.5</v>
      </c>
      <c r="U14" s="2" t="inlineStr">
        <is>
          <t>Annexe IV: formula-based chimney height calculation using reference concentrations for SO2, NOx, dust, HCl, organic compounds, Pb, Cd. Ch. IV §3: 'Les rejets dans l atmosphère sont... évacués... par l intermédiaire de cheminées' / 'Discharges into the atmosphere must... be evacuated... via chimneys'.</t>
        </is>
      </c>
      <c r="V14" s="3">
        <f>AVERAGE(P14,T14)</f>
        <v/>
      </c>
      <c r="W14" s="2" t="inlineStr">
        <is>
          <t>Exigences techniques de dispersion atmosphérique pour installations industrielles; complément aux valeurs limites d émission. / Technical atmospheric dispersion requirements for industrial installations; complement to emission limit values.</t>
        </is>
      </c>
    </row>
    <row r="15">
      <c r="A15" s="2" t="inlineStr">
        <is>
          <t>Norme sénégalaise NS 05-062 — Pollution atmosphérique (octobre 2003) / Senegalese Standard NS 05-062 — Atmospheric pollution (October 2003)</t>
        </is>
      </c>
      <c r="B15" s="2" t="inlineStr">
        <is>
          <t>https://www.denv.gouv.sn/telechargement/74/normes-cadre-juridique/19106/norme-rejets-ns05-062-pollution-atmospherique-octobre-2003.pdf</t>
        </is>
      </c>
      <c r="C15" s="2" t="n">
        <v>2003</v>
      </c>
      <c r="D15" s="2" t="inlineStr">
        <is>
          <t>Fixer les valeurs limites d'émissions et d'immissions atmosphériques, les interdictions de brûlage à l'air libre, les exigences d'incinération des déchets et les modalités de surveillance des effluents gazeux des installations stationnaires et des véhicules, en complément du Décret n° 2001-282 — contrôler indirectement les émissions industrielles liées à la production plastique, au traitement de surface des matières plastiques et à l'élimination thermique des déchets plastiques. / Set atmospheric emission and immission limit values, open-burning prohibitions, waste incineration requirements and monitoring modalities for gaseous effluents from stationary installations and vehicles, complementing Decree No. 2001-282 — indirectly controlling industrial emissions related to plastic production, plastic surface treatment and thermal disposal of plastic waste.</t>
        </is>
      </c>
      <c r="E15" s="2" t="n">
        <v>1</v>
      </c>
      <c r="F15" s="2" t="inlineStr">
        <is>
          <t>'Poussières totales : 100 mg/m3 (D &lt;= 1 kg/h); 50 mg/m3 (D &gt; 1 kg/h)' / 'Total dust: 100 mg/m3 (D &lt;= 1 kg/h); 50 mg/m3 (D &gt; 1 kg/h)'; 'Oxydes de soufre (exprimés en SO2) : 500 mg/m3 (D &gt; 25 kg/h)' / 'Sulphur oxides (as SO2): 500 mg/m3 (D &gt; 25 kg/h)'; 'Oxydes d azote (exprimés en NO2) : 500 mg/m3 (D &gt; 25 kg/h)' / 'Nitrogen oxides (as NO2): 500 mg/m3 (D &gt; 25 kg/h)'; 'Composés organiques totaux : 150 mg/m3 (D &gt; 2 kg/h)' / 'Total organic compounds: 150 mg/m3 (D &gt; 2 kg/h)'; 'Incinération de déchets — poussières : 10 mg/m3; matières organiques (COT) : 50 mg/m3' / 'Waste incineration — dust: 10 mg/m3; organic matter (TOC): 50 mg/m3'.</t>
        </is>
      </c>
      <c r="G15" s="2" t="n">
        <v>0.75</v>
      </c>
      <c r="H15" s="2" t="inlineStr">
        <is>
          <t>Norme technique officielle adoptée en octobre 2003 par le Comité technique de normalisation ASN/CT5 (Environnement et Ressources naturelles), éditée par l'Association sénégalaise de Normalisation (ASN), et explicitement présentée comme complétant le Décret n° 2001-282 d'application du Code de l'environnement. Elle n'est pas une loi parlementaire (≠1), mais constitue la réglementation technique opérationnelle de référence pour les rejets atmosphériques, avec des valeurs limites contraignantes lorsqu'elle est invoquée par le cadre juridique environnemental. / Official technical standard adopted in October 2003 by the ASN/CT5 standardisation technical committee (Environment and Natural Resources), published by the Senegalese Standardisation Association (ASN), and explicitly presented as complementing Decree No. 2001-282 implementing the Environmental Code. It is not parliamentary legislation (≠1), but constitutes the operative technical regulation of reference for atmospheric discharges, with binding limit values when invoked by the environmental legal framework.</t>
        </is>
      </c>
      <c r="I15" s="2" t="n">
        <v>0.75</v>
      </c>
      <c r="J15" s="2" t="inlineStr">
        <is>
          <t>industrie, environnement, énergie, transport, gestion des déchets / industry, environment, energy, transport, waste management</t>
        </is>
      </c>
      <c r="K15" s="2" t="n">
        <v>0.75</v>
      </c>
      <c r="L15" s="2" t="inlineStr">
        <is>
          <t>production, élimination, fuite environnementale / production, disposal, environmental leakage</t>
        </is>
      </c>
      <c r="M15" s="2" t="n">
        <v>0</v>
      </c>
      <c r="N15" s="2" t="inlineStr">
        <is>
          <t>Aucune disposition budgétaire, redevance ou instrument économique explicite dans la norme. Les frais de surveillance et de mesure sont à la charge de l'exploitant (Ch. V, §5). / No explicit budget, fee or economic instrument in the standard. Monitoring and measurement costs are borne by the operator (Ch. V, §5).</t>
        </is>
      </c>
      <c r="O15" s="3">
        <f>AVERAGE(G15,I15,K15,M15,P15)</f>
        <v/>
      </c>
      <c r="P15" s="2" t="n">
        <v>1</v>
      </c>
      <c r="Q15" s="2" t="inlineStr">
        <is>
          <t>Environmental leakage</t>
        </is>
      </c>
      <c r="R15" s="2" t="inlineStr">
        <is>
          <t>Annexe III: Carcinogenic substance emission limits including 'Benzidine, benzo(a)pyrène... 0,1 mg/m3' / 'Benzidine, benzo(a)pyrene... 0.1 mg/m3', 'Acrylonitrile ; épichlorhydrine ; chlorure de vinyle... 1 mg/m3' / 'Acrylonitrile; epichlorohydrin; vinyl chloride... 1 mg/m3', 'Benzène ; 1-3 butadiène... 5 mg/m3' / 'Benzene; 1-3 butadiene... 5 mg/m3'. §11.1: authorisation order sets limits for other carcinogens per national/international recommendations.</t>
        </is>
      </c>
      <c r="S15" s="2" t="n">
        <v>1</v>
      </c>
      <c r="T15" s="2" t="n">
        <v>0.75</v>
      </c>
      <c r="U15" s="2" t="inlineStr">
        <is>
          <t>§11.1: 'l arrêté d autorisation fixe la limitation maximale en considération des recommandations de l autorité compétente' / 'the authorisation order sets the maximum limit considering recommendations of the competent authority'. Annexe II §J §6.2: particularly dangerous emissions include 'hydrocarbures aromatiques polyhalogénés' / 'polyhalogenated aromatic hydrocarbons'.</t>
        </is>
      </c>
      <c r="V15" s="3">
        <f>AVERAGE(P15,T15)</f>
        <v/>
      </c>
      <c r="W15" s="2" t="inlineStr">
        <is>
          <t>Limites pour substances cancérigènes (VCM, acrylonitrile, benzène) — pertinents pour industrie chimique/plastique. / Limits for carcinogenic substances (VCM, acrylonitrile, benzene) — relevant to chemical/plastics industry.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2026-07-21T11:58:41Z</dcterms:created>
  <dcterms:modified xsi:type="dcterms:W3CDTF">2026-07-21T11:58:41Z</dcterms:modified>
</cp:coreProperties>
</file>