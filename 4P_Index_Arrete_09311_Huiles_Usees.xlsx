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Interministerial Order No. 09311 of 5 October 2007 on used-oil management</t>
        </is>
      </c>
      <c r="B2" s="2" t="inlineStr">
        <is>
          <t>https://www.denv.gouv.sn/telechargement/73/arretes-cadre-juridique/19096/arrete-interministeriel-n-09311-du-5-octobre-2007-portant-gestion-des-huiles-usees.pdf</t>
        </is>
      </c>
      <c r="C2" s="2" t="n">
        <v>2007</v>
      </c>
      <c r="D2" s="2" t="inlineStr">
        <is>
          <t>Regulate collection, storage, transport, treatment and disposal of used oils by imposing state approval, the green register and prohibition of environmental discharge — reduce hazardous waste streams often co-occurring with plastic waste in industrial and municipal settings, without plastic-specific measures.</t>
        </is>
      </c>
      <c r="E2" s="2" t="n">
        <v>1</v>
      </c>
      <c r="F2" s="2" t="inlineStr">
        <is>
          <t>Five hundred litres annual production threshold for green register; fifteen days maximum pickup delay for lots exceeding 600 litres; 1,400°C minimum for incineration/co-incineration; five years renewable approval validity.</t>
        </is>
      </c>
      <c r="G2" s="2" t="n">
        <v>0.75</v>
      </c>
      <c r="H2" s="2" t="inlineStr">
        <is>
          <t>Interministerial order adopted on 5 October 2007 jointly by the Ministers of Environment, Mines and Industry, and Energy, published in the Official Journal. Executive implementing regulation operationalising the Environmental Code and Decree 2001-282 (≠1.0 law).</t>
        </is>
      </c>
      <c r="I2" s="2" t="n">
        <v>0.75</v>
      </c>
      <c r="J2" s="2" t="inlineStr">
        <is>
          <t>industry, transport, environment, energy, waste management</t>
        </is>
      </c>
      <c r="K2" s="2" t="n">
        <v>0.75</v>
      </c>
      <c r="L2" s="2" t="inlineStr">
        <is>
          <t>consumption, disposal, environmental leakage</t>
        </is>
      </c>
      <c r="M2" s="2" t="n">
        <v>0.5</v>
      </c>
      <c r="N2" s="2" t="inlineStr">
        <is>
          <t>Annex 1: deposit required for collection and elimination approval applications; §19: annual statistics reporting to DEEC.</t>
        </is>
      </c>
      <c r="O2" s="3">
        <f>AVERAGE(G2,I2,K2,M2,P2)</f>
        <v/>
      </c>
      <c r="P2" s="2" t="n">
        <v>1</v>
      </c>
      <c r="Q2" s="2" t="inlineStr">
        <is>
          <t>Environmental leakage</t>
        </is>
      </c>
      <c r="R2" s="2" t="inlineStr">
        <is>
          <t>Art. 3: prohibitions including depositing or allowing used oils to flow on or into soil, surface or groundwater, sewers, pipes or collectors; burning used oils except under Article 2 conditions; disposing of used oils except by handing them to approved companies.</t>
        </is>
      </c>
      <c r="S2" s="2" t="n">
        <v>1</v>
      </c>
      <c r="T2" s="2" t="n">
        <v>0.75</v>
      </c>
      <c r="U2" s="2" t="inlineStr">
        <is>
          <t>Art. 15: approved companies controlled by competent authority (+0.25 monitoring); Art. 20: violations expose offender to sanctions under applicable regulations (+0.25 enforcement); Art. 18: approval withdrawal for non-compliance (+0.25 authority).</t>
        </is>
      </c>
      <c r="V2" s="3">
        <f>AVERAGE(P2,T2)</f>
        <v/>
      </c>
      <c r="W2" s="2" t="inlineStr">
        <is>
          <t>Core environmental prohibitions; reduces hydrocarbon discharges co-located with plastic/municipal waste.</t>
        </is>
      </c>
    </row>
    <row r="3">
      <c r="A3" s="2" t="inlineStr">
        <is>
          <t>Interministerial Order No. 09311 of 5 October 2007 on used-oil management</t>
        </is>
      </c>
      <c r="B3" s="2" t="inlineStr">
        <is>
          <t>https://www.denv.gouv.sn/telechargement/73/arretes-cadre-juridique/19096/arrete-interministeriel-n-09311-du-5-octobre-2007-portant-gestion-des-huiles-usees.pdf</t>
        </is>
      </c>
      <c r="C3" s="2" t="n">
        <v>2007</v>
      </c>
      <c r="D3" s="2" t="inlineStr">
        <is>
          <t>Regulate collection, storage, transport, treatment and disposal of used oils by imposing state approval, the green register and prohibition of environmental discharge — reduce hazardous waste streams often co-occurring with plastic waste in industrial and municipal settings, without plastic-specific measures.</t>
        </is>
      </c>
      <c r="E3" s="2" t="n">
        <v>1</v>
      </c>
      <c r="F3" s="2" t="inlineStr">
        <is>
          <t>Five hundred litres annual production threshold for green register; fifteen days maximum pickup delay for lots exceeding 600 litres; 1,400°C minimum for incineration/co-incineration; five years renewable approval validity.</t>
        </is>
      </c>
      <c r="G3" s="2" t="n">
        <v>0.75</v>
      </c>
      <c r="H3" s="2" t="inlineStr">
        <is>
          <t>Interministerial order adopted on 5 October 2007 jointly by the Ministers of Environment, Mines and Industry, and Energy, published in the Official Journal. Executive implementing regulation operationalising the Environmental Code and Decree 2001-282 (≠1.0 law).</t>
        </is>
      </c>
      <c r="I3" s="2" t="n">
        <v>0.75</v>
      </c>
      <c r="J3" s="2" t="inlineStr">
        <is>
          <t>industry, transport, environment, energy, waste management</t>
        </is>
      </c>
      <c r="K3" s="2" t="n">
        <v>0.75</v>
      </c>
      <c r="L3" s="2" t="inlineStr">
        <is>
          <t>consumption, disposal, environmental leakage</t>
        </is>
      </c>
      <c r="M3" s="2" t="n">
        <v>0.5</v>
      </c>
      <c r="N3" s="2" t="inlineStr">
        <is>
          <t>Annex 1: deposit required for collection and elimination approval applications; §19: annual statistics reporting to DEEC.</t>
        </is>
      </c>
      <c r="O3" s="3">
        <f>AVERAGE(G3,I3,K3,M3,P3)</f>
        <v/>
      </c>
      <c r="P3" s="2" t="n">
        <v>1</v>
      </c>
      <c r="Q3" s="2" t="inlineStr">
        <is>
          <t>End of life</t>
        </is>
      </c>
      <c r="R3" s="2" t="inlineStr">
        <is>
          <t>Art. 3 §3-5: prohibited mixing of used oils with PCBs or hazardous waste, or adding water or foreign matter such as solvents, cleaning products, detergents, antifreeze or other fuels before or during collection/storage.</t>
        </is>
      </c>
      <c r="S3" s="2" t="n">
        <v>1</v>
      </c>
      <c r="T3" s="2" t="n">
        <v>0.75</v>
      </c>
      <c r="U3" s="2" t="inlineStr">
        <is>
          <t>Annex 1 (eliminator): material accounting including PCB content (+0.25 monitoring); Annex 1 (collector): separation between stored oils and all other waste (+0.25 authority); Art. 20: sanctions under applicable regulations (+0.25 enforcement).</t>
        </is>
      </c>
      <c r="V3" s="3">
        <f>AVERAGE(P3,T3)</f>
        <v/>
      </c>
      <c r="W3" s="2" t="inlineStr">
        <is>
          <t>Prevents co-mingling of oils/hazardous waste; relevant for mixed oil-plastic streams at industrial sites.</t>
        </is>
      </c>
    </row>
    <row r="4">
      <c r="A4" s="2" t="inlineStr">
        <is>
          <t>Interministerial Order No. 09311 of 5 October 2007 on used-oil management</t>
        </is>
      </c>
      <c r="B4" s="2" t="inlineStr">
        <is>
          <t>https://www.denv.gouv.sn/telechargement/73/arretes-cadre-juridique/19096/arrete-interministeriel-n-09311-du-5-octobre-2007-portant-gestion-des-huiles-usees.pdf</t>
        </is>
      </c>
      <c r="C4" s="2" t="n">
        <v>2007</v>
      </c>
      <c r="D4" s="2" t="inlineStr">
        <is>
          <t>Regulate collection, storage, transport, treatment and disposal of used oils by imposing state approval, the green register and prohibition of environmental discharge — reduce hazardous waste streams often co-occurring with plastic waste in industrial and municipal settings, without plastic-specific measures.</t>
        </is>
      </c>
      <c r="E4" s="2" t="n">
        <v>1</v>
      </c>
      <c r="F4" s="2" t="inlineStr">
        <is>
          <t>Five hundred litres annual production threshold for green register; fifteen days maximum pickup delay for lots exceeding 600 litres; 1,400°C minimum for incineration/co-incineration; five years renewable approval validity.</t>
        </is>
      </c>
      <c r="G4" s="2" t="n">
        <v>0.75</v>
      </c>
      <c r="H4" s="2" t="inlineStr">
        <is>
          <t>Interministerial order adopted on 5 October 2007 jointly by the Ministers of Environment, Mines and Industry, and Energy, published in the Official Journal. Executive implementing regulation operationalising the Environmental Code and Decree 2001-282 (≠1.0 law).</t>
        </is>
      </c>
      <c r="I4" s="2" t="n">
        <v>0.75</v>
      </c>
      <c r="J4" s="2" t="inlineStr">
        <is>
          <t>industry, transport, environment, energy, waste management</t>
        </is>
      </c>
      <c r="K4" s="2" t="n">
        <v>0.75</v>
      </c>
      <c r="L4" s="2" t="inlineStr">
        <is>
          <t>consumption, disposal, environmental leakage</t>
        </is>
      </c>
      <c r="M4" s="2" t="n">
        <v>0.5</v>
      </c>
      <c r="N4" s="2" t="inlineStr">
        <is>
          <t>Annex 1: deposit required for collection and elimination approval applications; §19: annual statistics reporting to DEEC.</t>
        </is>
      </c>
      <c r="O4" s="3">
        <f>AVERAGE(G4,I4,K4,M4,P4)</f>
        <v/>
      </c>
      <c r="P4" s="2" t="n">
        <v>0.6</v>
      </c>
      <c r="Q4" s="2" t="inlineStr">
        <is>
          <t>Production</t>
        </is>
      </c>
      <c r="R4" s="2" t="inlineStr">
        <is>
          <t>Art. 1 (PCB): polychlorinated biphenyls, used in industry as additive in paints, carbonless papers and in plastics. Art. 3 §4: prohibited to mix used oils with PCBs.</t>
        </is>
      </c>
      <c r="S4" s="2" t="n">
        <v>1</v>
      </c>
      <c r="T4" s="2" t="n">
        <v>0.75</v>
      </c>
      <c r="U4" s="2" t="inlineStr">
        <is>
          <t>Art. 3 §4: mixing prohibition (+0.25 enforcement); Annex 1: eliminators must record PCB content in material accounting (+0.25 monitoring); Art. 5: only state-approved companies may collect or eliminate used oils (+0.25 authority).</t>
        </is>
      </c>
      <c r="V4" s="3">
        <f>AVERAGE(P4,T4)</f>
        <v/>
      </c>
      <c r="W4" s="2" t="inlineStr">
        <is>
          <t>Only explicit mention of plastics (PCB as additive); indirect relevance for chlorinated plastic waste.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2026-07-23T11:25:48Z</dcterms:created>
  <dcterms:modified xmlns:dcterms="http://purl.org/dc/terms/" xmlns:xsi="http://www.w3.org/2001/XMLSchema-instance" xsi:type="dcterms:W3CDTF">2026-07-23T11:25:48Z</dcterms:modified>
</cp:coreProperties>
</file>