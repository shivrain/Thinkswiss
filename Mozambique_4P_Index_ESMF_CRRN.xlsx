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8" customWidth="1" min="3" max="3"/>
    <col width="45" customWidth="1" min="4" max="4"/>
    <col width="8" customWidth="1" min="5" max="5"/>
    <col width="12" customWidth="1" min="6" max="6"/>
    <col width="8" customWidth="1" min="7" max="7"/>
    <col width="35" customWidth="1" min="8" max="8"/>
    <col width="8" customWidth="1" min="9" max="9"/>
    <col width="35" customWidth="1" min="10" max="10"/>
    <col width="8" customWidth="1" min="11" max="11"/>
    <col width="30" customWidth="1" min="12" max="12"/>
    <col width="8" customWidth="1" min="13" max="13"/>
    <col width="40" customWidth="1" min="14" max="14"/>
    <col width="10" customWidth="1" min="15" max="15"/>
    <col width="8" customWidth="1" min="16" max="16"/>
    <col width="18" customWidth="1" min="17" max="17"/>
    <col width="50" customWidth="1" min="18" max="18"/>
    <col width="8" customWidth="1" min="19" max="19"/>
    <col width="8" customWidth="1" min="20" max="20"/>
    <col width="40" customWidth="1" min="21" max="21"/>
    <col width="10" customWidth="1" min="22" max="22"/>
    <col width="40" customWidth="1" min="23" max="23"/>
  </cols>
  <sheetData>
    <row r="1">
      <c r="A1" s="1" t="inlineStr">
        <is>
          <t>A_policy_name</t>
        </is>
      </c>
      <c r="B1" s="1" t="inlineStr">
        <is>
          <t>B_policy_url</t>
        </is>
      </c>
      <c r="C1" s="1" t="inlineStr">
        <is>
          <t>C_policy_year</t>
        </is>
      </c>
      <c r="D1" s="1" t="inlineStr">
        <is>
          <t>D_policy_objective</t>
        </is>
      </c>
      <c r="E1" s="1" t="inlineStr">
        <is>
          <t>E_policy_target</t>
        </is>
      </c>
      <c r="F1" s="1" t="inlineStr">
        <is>
          <t>F_policy_target_text</t>
        </is>
      </c>
      <c r="G1" s="1" t="inlineStr">
        <is>
          <t>G_policy_type</t>
        </is>
      </c>
      <c r="H1" s="1" t="inlineStr">
        <is>
          <t>H_policy_type_justification</t>
        </is>
      </c>
      <c r="I1" s="1" t="inlineStr">
        <is>
          <t>I_policy_integration</t>
        </is>
      </c>
      <c r="J1" s="1" t="inlineStr">
        <is>
          <t>J_policy_sectors_list</t>
        </is>
      </c>
      <c r="K1" s="1" t="inlineStr">
        <is>
          <t>K_policy_circularity</t>
        </is>
      </c>
      <c r="L1" s="1" t="inlineStr">
        <is>
          <t>L_policy_lifecycle_phases_list</t>
        </is>
      </c>
      <c r="M1" s="1" t="inlineStr">
        <is>
          <t>M_policy_budget</t>
        </is>
      </c>
      <c r="N1" s="1" t="inlineStr">
        <is>
          <t>N_policy_budget_text</t>
        </is>
      </c>
      <c r="O1" s="1" t="inlineStr">
        <is>
          <t>O_policy_score</t>
        </is>
      </c>
      <c r="P1" s="1" t="inlineStr">
        <is>
          <t>P_instrument_type</t>
        </is>
      </c>
      <c r="Q1" s="1" t="inlineStr">
        <is>
          <t>Q_instrument_lifecycle_stage</t>
        </is>
      </c>
      <c r="R1" s="1" t="inlineStr">
        <is>
          <t>R_instrument_description</t>
        </is>
      </c>
      <c r="S1" s="1" t="inlineStr">
        <is>
          <t>S_instrument_in_force</t>
        </is>
      </c>
      <c r="T1" s="1" t="inlineStr">
        <is>
          <t>T_instrument_implementation</t>
        </is>
      </c>
      <c r="U1" s="1" t="inlineStr">
        <is>
          <t>U_instrument_implementation_text</t>
        </is>
      </c>
      <c r="V1" s="1" t="inlineStr">
        <is>
          <t>V_instrument_score</t>
        </is>
      </c>
      <c r="W1" s="1" t="inlineStr">
        <is>
          <t>W_comments</t>
        </is>
      </c>
    </row>
    <row r="2">
      <c r="A2" s="2" t="inlineStr">
        <is>
          <t>Environmental and Social Management Framework (ESMF) — Climate Resilient Roads for the North Project (P500488)</t>
        </is>
      </c>
      <c r="B2" s="2" t="inlineStr">
        <is>
          <t>https://fe.gov.mz/storage/app/uploads/public/65f/2da/871/65f2da8718c30622471525.pdf</t>
        </is>
      </c>
      <c r="C2" s="2" t="n">
        <v>2024</v>
      </c>
      <c r="D2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2" s="2" t="n">
        <v>0</v>
      </c>
      <c r="F2" s="2" t="inlineStr"/>
      <c r="G2" s="3" t="n">
        <v>0.25</v>
      </c>
      <c r="H2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2" s="3" t="n">
        <v>1</v>
      </c>
      <c r="J2" s="2" t="inlineStr">
        <is>
          <t>production, consumption, waste management, recycling, municipalities, industry, transport, water, environment, labour, tourism</t>
        </is>
      </c>
      <c r="K2" s="3" t="n">
        <v>0.75</v>
      </c>
      <c r="L2" s="2" t="inlineStr">
        <is>
          <t>production, consumption, recycling, disposal, environmental leakage</t>
        </is>
      </c>
      <c r="M2" s="3" t="n">
        <v>0.5</v>
      </c>
      <c r="N2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2" s="3">
        <f>AVERAGE(G2,I2,K2,M2,P2)</f>
        <v/>
      </c>
      <c r="P2" s="3" t="n">
        <v>0.2</v>
      </c>
      <c r="Q2" s="2" t="inlineStr">
        <is>
          <t>Waste management</t>
        </is>
      </c>
      <c r="R2" s="2" t="inlineStr">
        <is>
          <t>§5.2 / ESMP requirements: Contractors must prepare site-specific Contractor Environmental and Social Management Plans (CESMP) including Waste Management Plan, approved by ANE, IP and World Bank before construction.</t>
        </is>
      </c>
      <c r="S2" s="3" t="n">
        <v>1</v>
      </c>
      <c r="T2" s="3" t="n">
        <v>0.5</v>
      </c>
      <c r="U2" s="2" t="inlineStr">
        <is>
          <t>'The ESMP requires the Contractors to prepare site specific Contractor's ESMP (CESMP).' ANE, IP and WB approval required (+0.25 authority). WMP annex mandatory (+0.25 monitoring via plan implementation).</t>
        </is>
      </c>
      <c r="V2" s="3">
        <f>AVERAGE(P2,T2)</f>
        <v/>
      </c>
      <c r="W2" s="2" t="inlineStr">
        <is>
          <t>Governance/planning instrument for project subprojects. Applies to construction waste streams including plastic packaging (filter criterion c).</t>
        </is>
      </c>
    </row>
    <row r="3">
      <c r="A3" s="2" t="inlineStr">
        <is>
          <t>Environmental and Social Management Framework (ESMF) — Climate Resilient Roads for the North Project (P500488)</t>
        </is>
      </c>
      <c r="B3" s="2" t="inlineStr">
        <is>
          <t>https://fe.gov.mz/storage/app/uploads/public/65f/2da/871/65f2da8718c30622471525.pdf</t>
        </is>
      </c>
      <c r="C3" s="2" t="n">
        <v>2024</v>
      </c>
      <c r="D3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3" s="2" t="n">
        <v>0</v>
      </c>
      <c r="F3" s="2" t="inlineStr"/>
      <c r="G3" s="3" t="n">
        <v>0.25</v>
      </c>
      <c r="H3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3" s="3" t="n">
        <v>1</v>
      </c>
      <c r="J3" s="2" t="inlineStr">
        <is>
          <t>production, consumption, waste management, recycling, municipalities, industry, transport, water, environment, labour, tourism</t>
        </is>
      </c>
      <c r="K3" s="3" t="n">
        <v>0.75</v>
      </c>
      <c r="L3" s="2" t="inlineStr">
        <is>
          <t>production, consumption, recycling, disposal, environmental leakage</t>
        </is>
      </c>
      <c r="M3" s="3" t="n">
        <v>0.5</v>
      </c>
      <c r="N3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3" s="3">
        <f>AVERAGE(G3,I3,K3,M3,P3)</f>
        <v/>
      </c>
      <c r="P3" s="3" t="n">
        <v>0.2</v>
      </c>
      <c r="Q3" s="2" t="inlineStr">
        <is>
          <t>Production</t>
        </is>
      </c>
      <c r="R3" s="2" t="inlineStr">
        <is>
          <t>§7.2: E&amp;S screening, scoping and ESIA process per Decreto 54/2015 for project activities; MTA review and approval before works commence.</t>
        </is>
      </c>
      <c r="S3" s="3" t="n">
        <v>1</v>
      </c>
      <c r="T3" s="3" t="n">
        <v>0.5</v>
      </c>
      <c r="U3" s="2" t="inlineStr">
        <is>
          <t>Six-step E&amp;S assessment process with MTA approval (Step 5). ANE/IP monitoring during implementation (Step 6). National EIA regulation referenced (+0.25 authority, +0.25 monitoring).</t>
        </is>
      </c>
      <c r="V3" s="3">
        <f>AVERAGE(P3,T3)</f>
        <v/>
      </c>
      <c r="W3" s="2" t="inlineStr">
        <is>
          <t>Applies to road/bridge construction with potential plastic-related impacts.</t>
        </is>
      </c>
    </row>
    <row r="4">
      <c r="A4" s="2" t="inlineStr">
        <is>
          <t>Environmental and Social Management Framework (ESMF) — Climate Resilient Roads for the North Project (P500488)</t>
        </is>
      </c>
      <c r="B4" s="2" t="inlineStr">
        <is>
          <t>https://fe.gov.mz/storage/app/uploads/public/65f/2da/871/65f2da8718c30622471525.pdf</t>
        </is>
      </c>
      <c r="C4" s="2" t="n">
        <v>2024</v>
      </c>
      <c r="D4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4" s="2" t="n">
        <v>0</v>
      </c>
      <c r="F4" s="2" t="inlineStr"/>
      <c r="G4" s="3" t="n">
        <v>0.25</v>
      </c>
      <c r="H4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4" s="3" t="n">
        <v>1</v>
      </c>
      <c r="J4" s="2" t="inlineStr">
        <is>
          <t>production, consumption, waste management, recycling, municipalities, industry, transport, water, environment, labour, tourism</t>
        </is>
      </c>
      <c r="K4" s="3" t="n">
        <v>0.75</v>
      </c>
      <c r="L4" s="2" t="inlineStr">
        <is>
          <t>production, consumption, recycling, disposal, environmental leakage</t>
        </is>
      </c>
      <c r="M4" s="3" t="n">
        <v>0.5</v>
      </c>
      <c r="N4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4" s="3">
        <f>AVERAGE(G4,I4,K4,M4,P4)</f>
        <v/>
      </c>
      <c r="P4" s="3" t="n">
        <v>1</v>
      </c>
      <c r="Q4" s="2" t="inlineStr">
        <is>
          <t>Disposal</t>
        </is>
      </c>
      <c r="R4" s="2" t="inlineStr">
        <is>
          <t>§5.2.2 (Resources and Waste): Preparation of Waste Management Plan following the waste hierarchy, supported by staff training, for construction and maintenance phases.</t>
        </is>
      </c>
      <c r="S4" s="3" t="n">
        <v>1</v>
      </c>
      <c r="T4" s="3" t="n">
        <v>0.5</v>
      </c>
      <c r="U4" s="2" t="inlineStr">
        <is>
          <t>'Preparation of Waste Management Plan following the waste hierarchy, supported by staff training.' Mandatory mitigation measure for inefficient waste management (+0.25). Staff training (+0.25 monitoring mechanism).</t>
        </is>
      </c>
      <c r="V4" s="3">
        <f>AVERAGE(P4,T4)</f>
        <v/>
      </c>
      <c r="W4" s="2" t="inlineStr">
        <is>
          <t>Waste hierarchy includes recycling; applies to municipal-style construction waste.</t>
        </is>
      </c>
    </row>
    <row r="5">
      <c r="A5" s="2" t="inlineStr">
        <is>
          <t>Environmental and Social Management Framework (ESMF) — Climate Resilient Roads for the North Project (P500488)</t>
        </is>
      </c>
      <c r="B5" s="2" t="inlineStr">
        <is>
          <t>https://fe.gov.mz/storage/app/uploads/public/65f/2da/871/65f2da8718c30622471525.pdf</t>
        </is>
      </c>
      <c r="C5" s="2" t="n">
        <v>2024</v>
      </c>
      <c r="D5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5" s="2" t="n">
        <v>0</v>
      </c>
      <c r="F5" s="2" t="inlineStr"/>
      <c r="G5" s="3" t="n">
        <v>0.25</v>
      </c>
      <c r="H5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5" s="3" t="n">
        <v>1</v>
      </c>
      <c r="J5" s="2" t="inlineStr">
        <is>
          <t>production, consumption, waste management, recycling, municipalities, industry, transport, water, environment, labour, tourism</t>
        </is>
      </c>
      <c r="K5" s="3" t="n">
        <v>0.75</v>
      </c>
      <c r="L5" s="2" t="inlineStr">
        <is>
          <t>production, consumption, recycling, disposal, environmental leakage</t>
        </is>
      </c>
      <c r="M5" s="3" t="n">
        <v>0.5</v>
      </c>
      <c r="N5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5" s="3">
        <f>AVERAGE(G5,I5,K5,M5,P5)</f>
        <v/>
      </c>
      <c r="P5" s="3" t="n">
        <v>1</v>
      </c>
      <c r="Q5" s="2" t="inlineStr">
        <is>
          <t>Disposal</t>
        </is>
      </c>
      <c r="R5" s="2" t="inlineStr">
        <is>
          <t>Contractor specifications (Waste Management Plan): Contractor shall submit solid waste control method statement (bins, clean-up schedule) to Supervision Engineer for approval; site kept free of litter with litter bins at all workplaces.</t>
        </is>
      </c>
      <c r="S5" s="3" t="n">
        <v>1</v>
      </c>
      <c r="T5" s="3" t="n">
        <v>0.75</v>
      </c>
      <c r="U5" s="2" t="inlineStr">
        <is>
          <t>'The Contractor shall submit a method statement detailing a solid waste control system.' 'The site shall be kept free of litter.' Supervision Engineer approval (+0.25 authority). Litter bins and refuse collection (+0.25 monitoring). Mandatory language (+0.25 unconditional).</t>
        </is>
      </c>
      <c r="V5" s="3">
        <f>AVERAGE(P5,T5)</f>
        <v/>
      </c>
      <c r="W5" s="2" t="inlineStr">
        <is>
          <t>Directly addresses litter and packaging waste on construction sites.</t>
        </is>
      </c>
    </row>
    <row r="6">
      <c r="A6" s="2" t="inlineStr">
        <is>
          <t>Environmental and Social Management Framework (ESMF) — Climate Resilient Roads for the North Project (P500488)</t>
        </is>
      </c>
      <c r="B6" s="2" t="inlineStr">
        <is>
          <t>https://fe.gov.mz/storage/app/uploads/public/65f/2da/871/65f2da8718c30622471525.pdf</t>
        </is>
      </c>
      <c r="C6" s="2" t="n">
        <v>2024</v>
      </c>
      <c r="D6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6" s="2" t="n">
        <v>0</v>
      </c>
      <c r="F6" s="2" t="inlineStr"/>
      <c r="G6" s="3" t="n">
        <v>0.25</v>
      </c>
      <c r="H6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6" s="3" t="n">
        <v>1</v>
      </c>
      <c r="J6" s="2" t="inlineStr">
        <is>
          <t>production, consumption, waste management, recycling, municipalities, industry, transport, water, environment, labour, tourism</t>
        </is>
      </c>
      <c r="K6" s="3" t="n">
        <v>0.75</v>
      </c>
      <c r="L6" s="2" t="inlineStr">
        <is>
          <t>production, consumption, recycling, disposal, environmental leakage</t>
        </is>
      </c>
      <c r="M6" s="3" t="n">
        <v>0.5</v>
      </c>
      <c r="N6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6" s="3">
        <f>AVERAGE(G6,I6,K6,M6,P6)</f>
        <v/>
      </c>
      <c r="P6" s="3" t="n">
        <v>1</v>
      </c>
      <c r="Q6" s="2" t="inlineStr">
        <is>
          <t>Disposal</t>
        </is>
      </c>
      <c r="R6" s="2" t="inlineStr">
        <is>
          <t>Contractor specifications: Prohibition on burning, on-site burying or dumping of waste; all solid waste disposed offsite at approved landfill with disposal certificates supplied to Supervision Engineer.</t>
        </is>
      </c>
      <c r="S6" s="3" t="n">
        <v>1</v>
      </c>
      <c r="T6" s="3" t="n">
        <v>0.75</v>
      </c>
      <c r="U6" s="2" t="inlineStr">
        <is>
          <t>'No burning, on-site burying or dumping of waste shall occur.' 'All solid waste shall be disposed of offsite at an approved landfill site.' Certificates of disposal required (+0.25 enforcement). Licensed waste collector (+0.25 authority).</t>
        </is>
      </c>
      <c r="V6" s="3">
        <f>AVERAGE(P6,T6)</f>
        <v/>
      </c>
      <c r="W6" s="2" t="inlineStr">
        <is>
          <t>Regulatory disposal standard for construction solid waste including plastics.</t>
        </is>
      </c>
    </row>
    <row r="7">
      <c r="A7" s="2" t="inlineStr">
        <is>
          <t>Environmental and Social Management Framework (ESMF) — Climate Resilient Roads for the North Project (P500488)</t>
        </is>
      </c>
      <c r="B7" s="2" t="inlineStr">
        <is>
          <t>https://fe.gov.mz/storage/app/uploads/public/65f/2da/871/65f2da8718c30622471525.pdf</t>
        </is>
      </c>
      <c r="C7" s="2" t="n">
        <v>2024</v>
      </c>
      <c r="D7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7" s="2" t="n">
        <v>0</v>
      </c>
      <c r="F7" s="2" t="inlineStr"/>
      <c r="G7" s="3" t="n">
        <v>0.25</v>
      </c>
      <c r="H7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7" s="3" t="n">
        <v>1</v>
      </c>
      <c r="J7" s="2" t="inlineStr">
        <is>
          <t>production, consumption, waste management, recycling, municipalities, industry, transport, water, environment, labour, tourism</t>
        </is>
      </c>
      <c r="K7" s="3" t="n">
        <v>0.75</v>
      </c>
      <c r="L7" s="2" t="inlineStr">
        <is>
          <t>production, consumption, recycling, disposal, environmental leakage</t>
        </is>
      </c>
      <c r="M7" s="3" t="n">
        <v>0.5</v>
      </c>
      <c r="N7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7" s="3">
        <f>AVERAGE(G7,I7,K7,M7,P7)</f>
        <v/>
      </c>
      <c r="P7" s="3" t="n">
        <v>1</v>
      </c>
      <c r="Q7" s="2" t="inlineStr">
        <is>
          <t>Environmental leakage</t>
        </is>
      </c>
      <c r="R7" s="2" t="inlineStr">
        <is>
          <t>Contractor specifications: Random disposal of solid waste in scenery areas strictly prohibited; waste storage area fenced to prevent wind-blown litter; containers covered, tip-proof, weatherproof and scavenger-proof.</t>
        </is>
      </c>
      <c r="S7" s="3" t="n">
        <v>1</v>
      </c>
      <c r="T7" s="3" t="n">
        <v>0.75</v>
      </c>
      <c r="U7" s="2" t="inlineStr">
        <is>
          <t>'Random disposal of solid waste in scenery areas shall be strictly prohibited.' 'The waste storage area shall be fenced off to prevent wind-blown litter.' Mandatory prohibition (+0.25). Engineering controls (+0.25 monitoring). Supervision (+0.25 authority).</t>
        </is>
      </c>
      <c r="V7" s="3">
        <f>AVERAGE(P7,T7)</f>
        <v/>
      </c>
      <c r="W7" s="2" t="inlineStr">
        <is>
          <t>Directly prevents plastic litter leakage to environment during construction.</t>
        </is>
      </c>
    </row>
    <row r="8">
      <c r="A8" s="2" t="inlineStr">
        <is>
          <t>Environmental and Social Management Framework (ESMF) — Climate Resilient Roads for the North Project (P500488)</t>
        </is>
      </c>
      <c r="B8" s="2" t="inlineStr">
        <is>
          <t>https://fe.gov.mz/storage/app/uploads/public/65f/2da/871/65f2da8718c30622471525.pdf</t>
        </is>
      </c>
      <c r="C8" s="2" t="n">
        <v>2024</v>
      </c>
      <c r="D8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8" s="2" t="n">
        <v>0</v>
      </c>
      <c r="F8" s="2" t="inlineStr"/>
      <c r="G8" s="3" t="n">
        <v>0.25</v>
      </c>
      <c r="H8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8" s="3" t="n">
        <v>1</v>
      </c>
      <c r="J8" s="2" t="inlineStr">
        <is>
          <t>production, consumption, waste management, recycling, municipalities, industry, transport, water, environment, labour, tourism</t>
        </is>
      </c>
      <c r="K8" s="3" t="n">
        <v>0.75</v>
      </c>
      <c r="L8" s="2" t="inlineStr">
        <is>
          <t>production, consumption, recycling, disposal, environmental leakage</t>
        </is>
      </c>
      <c r="M8" s="3" t="n">
        <v>0.5</v>
      </c>
      <c r="N8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8" s="3">
        <f>AVERAGE(G8,I8,K8,M8,P8)</f>
        <v/>
      </c>
      <c r="P8" s="3" t="n">
        <v>0.6</v>
      </c>
      <c r="Q8" s="2" t="inlineStr">
        <is>
          <t>Recycling</t>
        </is>
      </c>
      <c r="R8" s="2" t="inlineStr">
        <is>
          <t>Contractor specifications: Recyclable materials (wooden plates, steel, scaffolding, packaging material, etc.) shall be collected and separated on-site and re-used or sold to waste collector for recycling.</t>
        </is>
      </c>
      <c r="S8" s="3" t="n">
        <v>1</v>
      </c>
      <c r="T8" s="3" t="n">
        <v>0.5</v>
      </c>
      <c r="U8" s="2" t="inlineStr">
        <is>
          <t>'Recyclable materials such as... packaging material, etc. shall be collected and separated on-site.' 'Collected recyclable material shall be re-used for other projects or sold to waste collector for recycling.' Mandatory separation (+0.25). Licensed collectors (+0.25).</t>
        </is>
      </c>
      <c r="V8" s="3">
        <f>AVERAGE(P8,T8)</f>
        <v/>
      </c>
      <c r="W8" s="2" t="inlineStr">
        <is>
          <t>Explicit packaging material recycling requirement. Economic/recycling instrument; highest type scored as Economic 0.60 (recycling incentive via sale to collectors).</t>
        </is>
      </c>
    </row>
    <row r="9">
      <c r="A9" s="2" t="inlineStr">
        <is>
          <t>Environmental and Social Management Framework (ESMF) — Climate Resilient Roads for the North Project (P500488)</t>
        </is>
      </c>
      <c r="B9" s="2" t="inlineStr">
        <is>
          <t>https://fe.gov.mz/storage/app/uploads/public/65f/2da/871/65f2da8718c30622471525.pdf</t>
        </is>
      </c>
      <c r="C9" s="2" t="n">
        <v>2024</v>
      </c>
      <c r="D9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9" s="2" t="n">
        <v>0</v>
      </c>
      <c r="F9" s="2" t="inlineStr"/>
      <c r="G9" s="3" t="n">
        <v>0.25</v>
      </c>
      <c r="H9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9" s="3" t="n">
        <v>1</v>
      </c>
      <c r="J9" s="2" t="inlineStr">
        <is>
          <t>production, consumption, waste management, recycling, municipalities, industry, transport, water, environment, labour, tourism</t>
        </is>
      </c>
      <c r="K9" s="3" t="n">
        <v>0.75</v>
      </c>
      <c r="L9" s="2" t="inlineStr">
        <is>
          <t>production, consumption, recycling, disposal, environmental leakage</t>
        </is>
      </c>
      <c r="M9" s="3" t="n">
        <v>0.5</v>
      </c>
      <c r="N9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9" s="3">
        <f>AVERAGE(G9,I9,K9,M9,P9)</f>
        <v/>
      </c>
      <c r="P9" s="3" t="n">
        <v>1</v>
      </c>
      <c r="Q9" s="2" t="inlineStr">
        <is>
          <t>Disposal</t>
        </is>
      </c>
      <c r="R9" s="2" t="inlineStr">
        <is>
          <t>Contractor specifications: Hazardous and chemical waste (including bitumen) disposed at approved hazardous landfill per local legislation; used oil/grease sold to approved recycling company with disposal certificates.</t>
        </is>
      </c>
      <c r="S9" s="3" t="n">
        <v>1</v>
      </c>
      <c r="T9" s="3" t="n">
        <v>0.75</v>
      </c>
      <c r="U9" s="2" t="inlineStr">
        <is>
          <t>'All hazardous and chemical waste... shall be disposed of at an approved hazardous landfill site and in accordance with local legislative requirements.' Disposal certificates (+0.25 enforcement). Approved recycling companies (+0.25 authority). Spill reporting (+0.25 monitoring).</t>
        </is>
      </c>
      <c r="V9" s="3">
        <f>AVERAGE(P9,T9)</f>
        <v/>
      </c>
      <c r="W9" s="2" t="inlineStr">
        <is>
          <t>Links to Decreto 83/2014 hazardous waste framework.</t>
        </is>
      </c>
    </row>
    <row r="10">
      <c r="A10" s="2" t="inlineStr">
        <is>
          <t>Environmental and Social Management Framework (ESMF) — Climate Resilient Roads for the North Project (P500488)</t>
        </is>
      </c>
      <c r="B10" s="2" t="inlineStr">
        <is>
          <t>https://fe.gov.mz/storage/app/uploads/public/65f/2da/871/65f2da8718c30622471525.pdf</t>
        </is>
      </c>
      <c r="C10" s="2" t="n">
        <v>2024</v>
      </c>
      <c r="D10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10" s="2" t="n">
        <v>0</v>
      </c>
      <c r="F10" s="2" t="inlineStr"/>
      <c r="G10" s="3" t="n">
        <v>0.25</v>
      </c>
      <c r="H10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10" s="3" t="n">
        <v>1</v>
      </c>
      <c r="J10" s="2" t="inlineStr">
        <is>
          <t>production, consumption, waste management, recycling, municipalities, industry, transport, water, environment, labour, tourism</t>
        </is>
      </c>
      <c r="K10" s="3" t="n">
        <v>0.75</v>
      </c>
      <c r="L10" s="2" t="inlineStr">
        <is>
          <t>production, consumption, recycling, disposal, environmental leakage</t>
        </is>
      </c>
      <c r="M10" s="3" t="n">
        <v>0.5</v>
      </c>
      <c r="N10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10" s="3">
        <f>AVERAGE(G10,I10,K10,M10,P10)</f>
        <v/>
      </c>
      <c r="P10" s="3" t="n">
        <v>0.2</v>
      </c>
      <c r="Q10" s="2" t="inlineStr">
        <is>
          <t>Waste management</t>
        </is>
      </c>
      <c r="R10" s="2" t="inlineStr">
        <is>
          <t>§3.2 legal framework table: Project must comply with Regulation on urban solid waste management (Decreto 94/2014) and Hazardous Waste Management (Decreto 83/2014), administered by Ministry of Land and Environment (MTA).</t>
        </is>
      </c>
      <c r="S10" s="3" t="n">
        <v>1</v>
      </c>
      <c r="T10" s="3" t="n">
        <v>0.25</v>
      </c>
      <c r="U10" s="2" t="inlineStr">
        <is>
          <t>Both regulations listed as 'Yes' applicable with MTA as authority. Incorporation by reference into project safeguard framework (+0.25 authority).</t>
        </is>
      </c>
      <c r="V10" s="3">
        <f>AVERAGE(P10,T10)</f>
        <v/>
      </c>
      <c r="W10" s="2" t="inlineStr">
        <is>
          <t>Governance coordination with national waste law; Decreto 94/2014 covers municipal solid waste including plastic fractions.</t>
        </is>
      </c>
    </row>
    <row r="11">
      <c r="A11" s="2" t="inlineStr">
        <is>
          <t>Environmental and Social Management Framework (ESMF) — Climate Resilient Roads for the North Project (P500488)</t>
        </is>
      </c>
      <c r="B11" s="2" t="inlineStr">
        <is>
          <t>https://fe.gov.mz/storage/app/uploads/public/65f/2da/871/65f2da8718c30622471525.pdf</t>
        </is>
      </c>
      <c r="C11" s="2" t="n">
        <v>2024</v>
      </c>
      <c r="D11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11" s="2" t="n">
        <v>0</v>
      </c>
      <c r="F11" s="2" t="inlineStr"/>
      <c r="G11" s="3" t="n">
        <v>0.25</v>
      </c>
      <c r="H11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11" s="3" t="n">
        <v>1</v>
      </c>
      <c r="J11" s="2" t="inlineStr">
        <is>
          <t>production, consumption, waste management, recycling, municipalities, industry, transport, water, environment, labour, tourism</t>
        </is>
      </c>
      <c r="K11" s="3" t="n">
        <v>0.75</v>
      </c>
      <c r="L11" s="2" t="inlineStr">
        <is>
          <t>production, consumption, recycling, disposal, environmental leakage</t>
        </is>
      </c>
      <c r="M11" s="3" t="n">
        <v>0.5</v>
      </c>
      <c r="N11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11" s="3">
        <f>AVERAGE(G11,I11,K11,M11,P11)</f>
        <v/>
      </c>
      <c r="P11" s="3" t="n">
        <v>0.2</v>
      </c>
      <c r="Q11" s="2" t="inlineStr">
        <is>
          <t>Waste management</t>
        </is>
      </c>
      <c r="R11" s="2" t="inlineStr">
        <is>
          <t>§5.2.2: Use of authorized contractors for hazardous and other wastes the project cannot dispose of safely.</t>
        </is>
      </c>
      <c r="S11" s="3" t="n">
        <v>1</v>
      </c>
      <c r="T11" s="3" t="n">
        <v>0.25</v>
      </c>
      <c r="U11" s="2" t="inlineStr">
        <is>
          <t>'Use of authorized contractors for hazardous and any other wastes which the project cannot dispose of safely.' Contractor authorization requirement (+0.25 authority).</t>
        </is>
      </c>
      <c r="V11" s="3">
        <f>AVERAGE(P11,T11)</f>
        <v/>
      </c>
      <c r="W11" s="2" t="inlineStr">
        <is>
          <t>Waste contractor licensing/coordination instrument.</t>
        </is>
      </c>
    </row>
    <row r="12">
      <c r="A12" s="2" t="inlineStr">
        <is>
          <t>Environmental and Social Management Framework (ESMF) — Climate Resilient Roads for the North Project (P500488)</t>
        </is>
      </c>
      <c r="B12" s="2" t="inlineStr">
        <is>
          <t>https://fe.gov.mz/storage/app/uploads/public/65f/2da/871/65f2da8718c30622471525.pdf</t>
        </is>
      </c>
      <c r="C12" s="2" t="n">
        <v>2024</v>
      </c>
      <c r="D12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12" s="2" t="n">
        <v>0</v>
      </c>
      <c r="F12" s="2" t="inlineStr"/>
      <c r="G12" s="3" t="n">
        <v>0.25</v>
      </c>
      <c r="H12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12" s="3" t="n">
        <v>1</v>
      </c>
      <c r="J12" s="2" t="inlineStr">
        <is>
          <t>production, consumption, waste management, recycling, municipalities, industry, transport, water, environment, labour, tourism</t>
        </is>
      </c>
      <c r="K12" s="3" t="n">
        <v>0.75</v>
      </c>
      <c r="L12" s="2" t="inlineStr">
        <is>
          <t>production, consumption, recycling, disposal, environmental leakage</t>
        </is>
      </c>
      <c r="M12" s="3" t="n">
        <v>0.5</v>
      </c>
      <c r="N12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12" s="3">
        <f>AVERAGE(G12,I12,K12,M12,P12)</f>
        <v/>
      </c>
      <c r="P12" s="3" t="n">
        <v>0.4</v>
      </c>
      <c r="Q12" s="2" t="inlineStr">
        <is>
          <t>Consumption</t>
        </is>
      </c>
      <c r="R12" s="2" t="inlineStr">
        <is>
          <t>§6 / §8.3: Stakeholder engagement, public disclosure, and Grievance Redress Mechanism (GRM) for project-related complaints including environmental damage; contractor GRMs at ancillary facilities.</t>
        </is>
      </c>
      <c r="S12" s="3" t="n">
        <v>1</v>
      </c>
      <c r="T12" s="3" t="n">
        <v>0.5</v>
      </c>
      <c r="U12" s="2" t="inlineStr">
        <is>
          <t>'GRMs to be put in place to receive, evaluate, and resolve all grievances related to the CRRN Project.' ANE/IP monitoring (+0.25). Contractor GRM at facilities (+0.25 authority). Public consultation requirements (+0.25 participation mechanism).</t>
        </is>
      </c>
      <c r="V12" s="3">
        <f>AVERAGE(P12,T12)</f>
        <v/>
      </c>
      <c r="W12" s="2" t="inlineStr">
        <is>
          <t>Information/participation instrument; can receive waste/litter complaints.</t>
        </is>
      </c>
    </row>
    <row r="13">
      <c r="A13" s="2" t="inlineStr">
        <is>
          <t>Environmental and Social Management Framework (ESMF) — Climate Resilient Roads for the North Project (P500488)</t>
        </is>
      </c>
      <c r="B13" s="2" t="inlineStr">
        <is>
          <t>https://fe.gov.mz/storage/app/uploads/public/65f/2da/871/65f2da8718c30622471525.pdf</t>
        </is>
      </c>
      <c r="C13" s="2" t="n">
        <v>2024</v>
      </c>
      <c r="D13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13" s="2" t="n">
        <v>0</v>
      </c>
      <c r="F13" s="2" t="inlineStr"/>
      <c r="G13" s="3" t="n">
        <v>0.25</v>
      </c>
      <c r="H13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13" s="3" t="n">
        <v>1</v>
      </c>
      <c r="J13" s="2" t="inlineStr">
        <is>
          <t>production, consumption, waste management, recycling, municipalities, industry, transport, water, environment, labour, tourism</t>
        </is>
      </c>
      <c r="K13" s="3" t="n">
        <v>0.75</v>
      </c>
      <c r="L13" s="2" t="inlineStr">
        <is>
          <t>production, consumption, recycling, disposal, environmental leakage</t>
        </is>
      </c>
      <c r="M13" s="3" t="n">
        <v>0.5</v>
      </c>
      <c r="N13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13" s="3">
        <f>AVERAGE(G13,I13,K13,M13,P13)</f>
        <v/>
      </c>
      <c r="P13" s="3" t="n">
        <v>0.2</v>
      </c>
      <c r="Q13" s="2" t="inlineStr">
        <is>
          <t>Waste management</t>
        </is>
      </c>
      <c r="R13" s="2" t="inlineStr">
        <is>
          <t>§11: ESMF implementation monitoring and reporting by ANE/IP in collaboration with provincial authorities; monitoring indicators for environmental and social performance including ESMP/CESMP compliance.</t>
        </is>
      </c>
      <c r="S13" s="3" t="n">
        <v>1</v>
      </c>
      <c r="T13" s="3" t="n">
        <v>0.5</v>
      </c>
      <c r="U13" s="2" t="inlineStr">
        <is>
          <t>'The primary responsibility for monitoring rests with ANE, IP.' Site visits, reporting, third-party input via GRM (+0.25 monitoring). World Bank oversight (+0.25 authority).</t>
        </is>
      </c>
      <c r="V13" s="3">
        <f>AVERAGE(P13,T13)</f>
        <v/>
      </c>
      <c r="W13" s="2" t="inlineStr">
        <is>
          <t>Multi-level monitoring coordination for contractor waste compliance.</t>
        </is>
      </c>
    </row>
    <row r="14">
      <c r="A14" s="2" t="inlineStr">
        <is>
          <t>Environmental and Social Management Framework (ESMF) — Climate Resilient Roads for the North Project (P500488)</t>
        </is>
      </c>
      <c r="B14" s="2" t="inlineStr">
        <is>
          <t>https://fe.gov.mz/storage/app/uploads/public/65f/2da/871/65f2da8718c30622471525.pdf</t>
        </is>
      </c>
      <c r="C14" s="2" t="n">
        <v>2024</v>
      </c>
      <c r="D14" s="2" t="inlineStr">
        <is>
          <t>Establish procedures for environmental and social assessment, management, and monitoring of the World Bank–financed Climate Resilient Roads for the North project (Cabo Delgado, Nampula, Niassa). Includes contractor waste-management obligations, compliance with Mozambique waste regulations (Decretos 94/2014 and 83/2014), and mitigation of construction solid waste and litter including plastic packaging debris.</t>
        </is>
      </c>
      <c r="E14" s="2" t="n">
        <v>0</v>
      </c>
      <c r="F14" s="2" t="inlineStr"/>
      <c r="G14" s="3" t="n">
        <v>0.25</v>
      </c>
      <c r="H14" s="2" t="inlineStr">
        <is>
          <t>Project-level Environmental and Social Management Framework prepared for ANE under World Bank Environmental and Social Framework (ESF). Safeguard programme document, not national legislation or executive decree.</t>
        </is>
      </c>
      <c r="I14" s="3" t="n">
        <v>1</v>
      </c>
      <c r="J14" s="2" t="inlineStr">
        <is>
          <t>production, consumption, waste management, recycling, municipalities, industry, transport, water, environment, labour, tourism</t>
        </is>
      </c>
      <c r="K14" s="3" t="n">
        <v>0.75</v>
      </c>
      <c r="L14" s="2" t="inlineStr">
        <is>
          <t>production, consumption, recycling, disposal, environmental leakage</t>
        </is>
      </c>
      <c r="M14" s="3" t="n">
        <v>0.5</v>
      </c>
      <c r="N14" s="2" t="inlineStr">
        <is>
          <t>ESMF states total budget for implementation of the ESMF and associated instruments is US$3,100,000; World Bank project envelope US$125 million. Funding mentioned for E&amp;S management but not ring-fenced solely to waste/plastic measures.</t>
        </is>
      </c>
      <c r="O14" s="3">
        <f>AVERAGE(G14,I14,K14,M14,P14)</f>
        <v/>
      </c>
      <c r="P14" s="3" t="n">
        <v>0.2</v>
      </c>
      <c r="Q14" s="2" t="inlineStr">
        <is>
          <t>Production</t>
        </is>
      </c>
      <c r="R14" s="2" t="inlineStr">
        <is>
          <t>§5.2.2: Earthworks designed to balance cut and fill to minimise excess material consumption and waste generation.</t>
        </is>
      </c>
      <c r="S14" s="3" t="n">
        <v>1</v>
      </c>
      <c r="T14" s="3" t="n">
        <v>0.25</v>
      </c>
      <c r="U14" s="2" t="inlineStr">
        <is>
          <t>'Earthworks to be designed to achieve a balance between cut and fill wherever possible.' Waste prevention measure (+0.25 unconditional design requirement).</t>
        </is>
      </c>
      <c r="V14" s="3">
        <f>AVERAGE(P14,T14)</f>
        <v/>
      </c>
      <c r="W14" s="2" t="inlineStr">
        <is>
          <t>Waste prevention at production/construction phase; reduces overall waste including packaging.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Mozambique</t>
        </is>
      </c>
    </row>
    <row r="3">
      <c r="A3" t="inlineStr">
        <is>
          <t>Index</t>
        </is>
      </c>
      <c r="B3" t="inlineStr">
        <is>
          <t>4P Index v2</t>
        </is>
      </c>
    </row>
    <row r="4">
      <c r="A4" t="inlineStr">
        <is>
          <t>Policy</t>
        </is>
      </c>
      <c r="B4" t="inlineStr">
        <is>
          <t>Environmental and Social Management Framework (ESMF) — Climate Resilient Roads for the North Project (P500488)</t>
        </is>
      </c>
    </row>
    <row r="5">
      <c r="A5" t="inlineStr">
        <is>
          <t>Source URL</t>
        </is>
      </c>
      <c r="B5" t="inlineStr">
        <is>
          <t>https://fe.gov.mz/storage/app/uploads/public/65f/2da/871/65f2da8718c30622471525.pdf</t>
        </is>
      </c>
    </row>
    <row r="6">
      <c r="A6" t="inlineStr">
        <is>
          <t>Project</t>
        </is>
      </c>
      <c r="B6" t="inlineStr">
        <is>
          <t>World Bank P500488 — Climate Resilient Roads for the North</t>
        </is>
      </c>
    </row>
    <row r="7">
      <c r="A7" t="inlineStr">
        <is>
          <t>Client</t>
        </is>
      </c>
      <c r="B7" t="inlineStr">
        <is>
          <t>ANE (Administração Nacional de Estradas)</t>
        </is>
      </c>
    </row>
    <row r="8">
      <c r="A8" t="inlineStr">
        <is>
          <t>Document date</t>
        </is>
      </c>
      <c r="B8" t="inlineStr">
        <is>
          <t>06 March 2024</t>
        </is>
      </c>
    </row>
    <row r="9">
      <c r="A9" t="inlineStr">
        <is>
          <t>Coding date</t>
        </is>
      </c>
      <c r="B9" t="inlineStr">
        <is>
          <t>June 2026</t>
        </is>
      </c>
    </row>
    <row r="10">
      <c r="A10" t="inlineStr">
        <is>
          <t>Instrument rows</t>
        </is>
      </c>
      <c r="B10" t="n">
        <v>13</v>
      </c>
    </row>
    <row r="11">
      <c r="A11" t="inlineStr">
        <is>
          <t>Note</t>
        </is>
      </c>
      <c r="B11" t="inlineStr">
        <is>
          <t>Project safeguard framework (not national legislation). In-force = operative for project contractors during CRRN implementation. No explicit plastics mention; coded via construction waste/litter/packaging recycling and Decreto 94/2014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2026-06-19T09:41:27Z</dcterms:created>
  <dcterms:modified xmlns:dcterms="http://purl.org/dc/terms/" xmlns:xsi="http://www.w3.org/2001/XMLSchema-instance" xsi:type="dcterms:W3CDTF">2026-06-19T09:41:27Z</dcterms:modified>
</cp:coreProperties>
</file>