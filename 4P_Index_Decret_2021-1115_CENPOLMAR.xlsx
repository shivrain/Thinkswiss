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2" s="2" t="inlineStr">
        <is>
          <t>https://www.hassmar.gouv.sn/sites/default/files/reglementations/Decret%20CENPOLMAR_0.pdf</t>
        </is>
      </c>
      <c r="C2" s="2" t="n">
        <v>2021</v>
      </c>
      <c r="D2"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2" s="2" t="n">
        <v>0.75</v>
      </c>
      <c r="F2"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2" s="2" t="n">
        <v>0.75</v>
      </c>
      <c r="H2"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2" s="2" t="n">
        <v>1</v>
      </c>
      <c r="J2" s="2" t="inlineStr">
        <is>
          <t>transport maritime, pêche, environnement, littoral, pétrole et énergies, sécurité maritime / maritime transport, fisheries, environment, coast, oil and gas, maritime security</t>
        </is>
      </c>
      <c r="K2" s="2" t="n">
        <v>0.5</v>
      </c>
      <c r="L2" s="2" t="inlineStr">
        <is>
          <t>utilisation, élimination, milieu marin / use, disposal, marine environment</t>
        </is>
      </c>
      <c r="M2" s="2" t="n">
        <v>0.5</v>
      </c>
      <c r="N2"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2" s="3">
        <f>AVERAGE(G2,I2,K2,M2,P2)</f>
        <v/>
      </c>
      <c r="P2" s="2" t="n">
        <v>0.75</v>
      </c>
      <c r="Q2" s="2" t="inlineStr">
        <is>
          <t>Marine environment</t>
        </is>
      </c>
      <c r="R2" s="2" t="inlineStr">
        <is>
          <t>Art. 1: creates 'Centre national de Coordination de la Lutte contre la Pollution marine' / 'National Marine Pollution Response Coordination Centre' ('CENPOLMAR' / 'CENPOLMAR') within HASSMAR. Art. 2: operational body for 'coordination de la lutte contre la pollution marine par hydrocarbures' / 'coordinating marine hydrocarbon pollution response'. Art. 3: seat in Dakar (transferable by HASSMAR Secretary-General).</t>
        </is>
      </c>
      <c r="S2" s="2" t="n">
        <v>1</v>
      </c>
      <c r="T2" s="2" t="n">
        <v>0.75</v>
      </c>
      <c r="U2" s="2" t="inlineStr">
        <is>
          <t>Preamble cites CNUDM, MARPOL, OPRC, Abidjan Convention, Décrets 2006-322 (HASSMAR), 2006-323 (PNIUM), 2001-282; complements Arrêté 07022/2009 POLMAR. Published JO 7470.</t>
        </is>
      </c>
      <c r="V2" s="3">
        <f>AVERAGE(P2,T2)</f>
        <v/>
      </c>
      <c r="W2" s="2" t="inlineStr">
        <is>
          <t>Institution opérationnelle HASSMAR — chaîne POLMAR/CENPOLMAR pour pollution marine. / HASSMAR operational institution — POLMAR/CENPOLMAR chain for marine pollution.</t>
        </is>
      </c>
    </row>
    <row r="3">
      <c r="A3"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3" s="2" t="inlineStr">
        <is>
          <t>https://www.hassmar.gouv.sn/sites/default/files/reglementations/Decret%20CENPOLMAR_0.pdf</t>
        </is>
      </c>
      <c r="C3" s="2" t="n">
        <v>2021</v>
      </c>
      <c r="D3"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3" s="2" t="n">
        <v>0.75</v>
      </c>
      <c r="F3"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3" s="2" t="n">
        <v>0.75</v>
      </c>
      <c r="H3"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3" s="2" t="n">
        <v>1</v>
      </c>
      <c r="J3" s="2" t="inlineStr">
        <is>
          <t>transport maritime, pêche, environnement, littoral, pétrole et énergies, sécurité maritime / maritime transport, fisheries, environment, coast, oil and gas, maritime security</t>
        </is>
      </c>
      <c r="K3" s="2" t="n">
        <v>0.5</v>
      </c>
      <c r="L3" s="2" t="inlineStr">
        <is>
          <t>utilisation, élimination, milieu marin / use, disposal, marine environment</t>
        </is>
      </c>
      <c r="M3" s="2" t="n">
        <v>0.5</v>
      </c>
      <c r="N3"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3" s="3">
        <f>AVERAGE(G3,I3,K3,M3,P3)</f>
        <v/>
      </c>
      <c r="P3" s="2" t="n">
        <v>0.75</v>
      </c>
      <c r="Q3" s="2" t="inlineStr">
        <is>
          <t>Marine environment</t>
        </is>
      </c>
      <c r="R3" s="2" t="inlineStr">
        <is>
          <t>Art. 4: general mission of 'veille, de préparation et d appui technique et opérationnel à la lutte contre la pollution marine par hydrocarbures' / 'watch, preparedness and technical/operational support for marine hydrocarbon pollution response'.</t>
        </is>
      </c>
      <c r="S3" s="2" t="n">
        <v>1</v>
      </c>
      <c r="T3" s="2" t="n">
        <v>0.75</v>
      </c>
      <c r="U3" s="2" t="inlineStr">
        <is>
          <t>Addresses operational gap identified in preamble: national expertise to assess hydrocarbon pollution, recommend measures and support operations.</t>
        </is>
      </c>
      <c r="V3" s="3">
        <f>AVERAGE(P3,T3)</f>
        <v/>
      </c>
      <c r="W3" s="2" t="inlineStr">
        <is>
          <t>Mission centrale veille/préparation/intervention — cadre hydrocarbures, pas plastiques explicites. / Core watch/preparedness/response mission — hydrocarbon framework, no explicit plastics.</t>
        </is>
      </c>
    </row>
    <row r="4">
      <c r="A4"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4" s="2" t="inlineStr">
        <is>
          <t>https://www.hassmar.gouv.sn/sites/default/files/reglementations/Decret%20CENPOLMAR_0.pdf</t>
        </is>
      </c>
      <c r="C4" s="2" t="n">
        <v>2021</v>
      </c>
      <c r="D4"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4" s="2" t="n">
        <v>0.75</v>
      </c>
      <c r="F4"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4" s="2" t="n">
        <v>0.75</v>
      </c>
      <c r="H4"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4" s="2" t="n">
        <v>1</v>
      </c>
      <c r="J4" s="2" t="inlineStr">
        <is>
          <t>transport maritime, pêche, environnement, littoral, pétrole et énergies, sécurité maritime / maritime transport, fisheries, environment, coast, oil and gas, maritime security</t>
        </is>
      </c>
      <c r="K4" s="2" t="n">
        <v>0.5</v>
      </c>
      <c r="L4" s="2" t="inlineStr">
        <is>
          <t>utilisation, élimination, milieu marin / use, disposal, marine environment</t>
        </is>
      </c>
      <c r="M4" s="2" t="n">
        <v>0.5</v>
      </c>
      <c r="N4"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4" s="3">
        <f>AVERAGE(G4,I4,K4,M4,P4)</f>
        <v/>
      </c>
      <c r="P4" s="2" t="n">
        <v>0.75</v>
      </c>
      <c r="Q4" s="2" t="inlineStr">
        <is>
          <t>Marine environment</t>
        </is>
      </c>
      <c r="R4" s="2" t="inlineStr">
        <is>
          <t>Art. 5: 'appui à la mise en œuvre du plan national de lutte contre la pollution marine (POLMAR)' / 'support for implementation of the National Marine Pollution Response Plan (POLMAR)'.</t>
        </is>
      </c>
      <c r="S4" s="2" t="n">
        <v>1</v>
      </c>
      <c r="T4" s="2" t="n">
        <v>0.75</v>
      </c>
      <c r="U4" s="2" t="inlineStr">
        <is>
          <t>Operationalises Arrêté 07022/2009 POLMAR Tier system, MRCC/RSC coordination and sectoral plans.</t>
        </is>
      </c>
      <c r="V4" s="3">
        <f>AVERAGE(P4,T4)</f>
        <v/>
      </c>
      <c r="W4" s="2" t="inlineStr">
        <is>
          <t>Lien direct avec POLMAR 2009 — déchets récupérés et MARPOL 73/78 en amont. / Direct link to POLMAR 2009 — recovered waste and upstream MARPOL 73/78.</t>
        </is>
      </c>
    </row>
    <row r="5">
      <c r="A5"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5" s="2" t="inlineStr">
        <is>
          <t>https://www.hassmar.gouv.sn/sites/default/files/reglementations/Decret%20CENPOLMAR_0.pdf</t>
        </is>
      </c>
      <c r="C5" s="2" t="n">
        <v>2021</v>
      </c>
      <c r="D5"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5" s="2" t="n">
        <v>0.75</v>
      </c>
      <c r="F5"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5" s="2" t="n">
        <v>0.75</v>
      </c>
      <c r="H5"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5" s="2" t="n">
        <v>1</v>
      </c>
      <c r="J5" s="2" t="inlineStr">
        <is>
          <t>transport maritime, pêche, environnement, littoral, pétrole et énergies, sécurité maritime / maritime transport, fisheries, environment, coast, oil and gas, maritime security</t>
        </is>
      </c>
      <c r="K5" s="2" t="n">
        <v>0.5</v>
      </c>
      <c r="L5" s="2" t="inlineStr">
        <is>
          <t>utilisation, élimination, milieu marin / use, disposal, marine environment</t>
        </is>
      </c>
      <c r="M5" s="2" t="n">
        <v>0.5</v>
      </c>
      <c r="N5"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5" s="3">
        <f>AVERAGE(G5,I5,K5,M5,P5)</f>
        <v/>
      </c>
      <c r="P5" s="2" t="n">
        <v>0.75</v>
      </c>
      <c r="Q5" s="2" t="inlineStr">
        <is>
          <t>Marine environment</t>
        </is>
      </c>
      <c r="R5" s="2" t="inlineStr">
        <is>
          <t>Art. 5: 'appui à la mise en œuvre du plan national de lutte contre la pollution marine à terre (POLMAR-TERRE)' / 'support for implementation of the National Shoreline Marine Pollution Response Plan (POLMAR-TERRE)'.</t>
        </is>
      </c>
      <c r="S5" s="2" t="n">
        <v>1</v>
      </c>
      <c r="T5" s="2" t="n">
        <v>0.75</v>
      </c>
      <c r="U5" s="2" t="inlineStr">
        <is>
          <t>Extends coordination to shoreline/land-based marine pollution response; relevant to coastal litter and debris cleanup operations.</t>
        </is>
      </c>
      <c r="V5" s="3">
        <f>AVERAGE(P5,T5)</f>
        <v/>
      </c>
      <c r="W5" s="2" t="inlineStr">
        <is>
          <t>POLMAR-TERRE — littoral et débris côtiers (plastiques marins indirectement). / POLMAR-TERRE — shoreline and coastal debris (marine plastics indirectly).</t>
        </is>
      </c>
    </row>
    <row r="6">
      <c r="A6"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6" s="2" t="inlineStr">
        <is>
          <t>https://www.hassmar.gouv.sn/sites/default/files/reglementations/Decret%20CENPOLMAR_0.pdf</t>
        </is>
      </c>
      <c r="C6" s="2" t="n">
        <v>2021</v>
      </c>
      <c r="D6"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6" s="2" t="n">
        <v>0.75</v>
      </c>
      <c r="F6"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6" s="2" t="n">
        <v>0.75</v>
      </c>
      <c r="H6"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6" s="2" t="n">
        <v>1</v>
      </c>
      <c r="J6" s="2" t="inlineStr">
        <is>
          <t>transport maritime, pêche, environnement, littoral, pétrole et énergies, sécurité maritime / maritime transport, fisheries, environment, coast, oil and gas, maritime security</t>
        </is>
      </c>
      <c r="K6" s="2" t="n">
        <v>0.5</v>
      </c>
      <c r="L6" s="2" t="inlineStr">
        <is>
          <t>utilisation, élimination, milieu marin / use, disposal, marine environment</t>
        </is>
      </c>
      <c r="M6" s="2" t="n">
        <v>0.5</v>
      </c>
      <c r="N6"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6" s="3">
        <f>AVERAGE(G6,I6,K6,M6,P6)</f>
        <v/>
      </c>
      <c r="P6" s="2" t="n">
        <v>0.5</v>
      </c>
      <c r="Q6" s="2" t="inlineStr">
        <is>
          <t>Marine environment</t>
        </is>
      </c>
      <c r="R6" s="2" t="inlineStr">
        <is>
          <t>Art. 5: 'veille environnementale permanente en relation avec les diverses administrations compétentes' / 'permanent environmental watch in liaison with relevant administrations'.</t>
        </is>
      </c>
      <c r="S6" s="2" t="n">
        <v>1</v>
      </c>
      <c r="T6" s="2" t="n">
        <v>0.75</v>
      </c>
      <c r="U6" s="2" t="inlineStr">
        <is>
          <t>Cross-ministerial monitoring mechanism; supports early detection of marine environmental incidents.</t>
        </is>
      </c>
      <c r="V6" s="3">
        <f>AVERAGE(P6,T6)</f>
        <v/>
      </c>
      <c r="W6" s="2" t="inlineStr">
        <is>
          <t>Veille permanente — détection incidents pollution marine. / Permanent watch — marine pollution incident detection.</t>
        </is>
      </c>
    </row>
    <row r="7">
      <c r="A7"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7" s="2" t="inlineStr">
        <is>
          <t>https://www.hassmar.gouv.sn/sites/default/files/reglementations/Decret%20CENPOLMAR_0.pdf</t>
        </is>
      </c>
      <c r="C7" s="2" t="n">
        <v>2021</v>
      </c>
      <c r="D7"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7" s="2" t="n">
        <v>0.75</v>
      </c>
      <c r="F7"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7" s="2" t="n">
        <v>0.75</v>
      </c>
      <c r="H7"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7" s="2" t="n">
        <v>1</v>
      </c>
      <c r="J7" s="2" t="inlineStr">
        <is>
          <t>transport maritime, pêche, environnement, littoral, pétrole et énergies, sécurité maritime / maritime transport, fisheries, environment, coast, oil and gas, maritime security</t>
        </is>
      </c>
      <c r="K7" s="2" t="n">
        <v>0.5</v>
      </c>
      <c r="L7" s="2" t="inlineStr">
        <is>
          <t>utilisation, élimination, milieu marin / use, disposal, marine environment</t>
        </is>
      </c>
      <c r="M7" s="2" t="n">
        <v>0.5</v>
      </c>
      <c r="N7"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7" s="3">
        <f>AVERAGE(G7,I7,K7,M7,P7)</f>
        <v/>
      </c>
      <c r="P7" s="2" t="n">
        <v>0.75</v>
      </c>
      <c r="Q7" s="2" t="inlineStr">
        <is>
          <t>Disposal</t>
        </is>
      </c>
      <c r="R7" s="2" t="inlineStr">
        <is>
          <t>Art. 5: 'participation à la surveillance, au contrôle et suivi du traitement des déchets résultant d une pollution marine par hydrocarbures' / 'participation in surveillance, control and follow-up of waste treatment from hydrocarbon marine pollution'.</t>
        </is>
      </c>
      <c r="S7" s="2" t="n">
        <v>1</v>
      </c>
      <c r="T7" s="2" t="n">
        <v>0.75</v>
      </c>
      <c r="U7" s="2" t="inlineStr">
        <is>
          <t>Complements POLMAR Art. 37 (Environment Ministry waste treatment/restoration); covers recovered absorbent materials and polluted waste from spill operations.</t>
        </is>
      </c>
      <c r="V7" s="3">
        <f>AVERAGE(P7,T7)</f>
        <v/>
      </c>
      <c r="W7" s="2" t="inlineStr">
        <is>
          <t>Provision la plus pertinente pour déchets — inclut matériaux absorbants/plastiques pollués post-intervention. / Most waste-relevant provision — includes absorbent/polluted plastic materials post-intervention.</t>
        </is>
      </c>
    </row>
    <row r="8">
      <c r="A8"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8" s="2" t="inlineStr">
        <is>
          <t>https://www.hassmar.gouv.sn/sites/default/files/reglementations/Decret%20CENPOLMAR_0.pdf</t>
        </is>
      </c>
      <c r="C8" s="2" t="n">
        <v>2021</v>
      </c>
      <c r="D8"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8" s="2" t="n">
        <v>0.75</v>
      </c>
      <c r="F8"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8" s="2" t="n">
        <v>0.75</v>
      </c>
      <c r="H8"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8" s="2" t="n">
        <v>1</v>
      </c>
      <c r="J8" s="2" t="inlineStr">
        <is>
          <t>transport maritime, pêche, environnement, littoral, pétrole et énergies, sécurité maritime / maritime transport, fisheries, environment, coast, oil and gas, maritime security</t>
        </is>
      </c>
      <c r="K8" s="2" t="n">
        <v>0.5</v>
      </c>
      <c r="L8" s="2" t="inlineStr">
        <is>
          <t>utilisation, élimination, milieu marin / use, disposal, marine environment</t>
        </is>
      </c>
      <c r="M8" s="2" t="n">
        <v>0.5</v>
      </c>
      <c r="N8"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8" s="3">
        <f>AVERAGE(G8,I8,K8,M8,P8)</f>
        <v/>
      </c>
      <c r="P8" s="2" t="n">
        <v>0.75</v>
      </c>
      <c r="Q8" s="2" t="inlineStr">
        <is>
          <t>Marine environment</t>
        </is>
      </c>
      <c r="R8" s="2" t="inlineStr">
        <is>
          <t>Art. 5: 'formation, renforcement de capacités et tenue d une base de données des ressources humaines qualifiées POLMAR' / 'training, capacity building and maintenance of a database of qualified POLMAR human resources'; 'entrainement des personnels des administrations compétentes en mer à la lutte contre la pollution marine par hydrocarbures' / 'training of competent administration personnel at sea for marine hydrocarbon pollution response'.</t>
        </is>
      </c>
      <c r="S8" s="2" t="n">
        <v>1</v>
      </c>
      <c r="T8" s="2" t="n">
        <v>0.75</v>
      </c>
      <c r="U8" s="2" t="inlineStr">
        <is>
          <t>Builds national POLMAR-qualified workforce; complements HASSMAR training plan under Arrêté 07022 Arts. 74–76.</t>
        </is>
      </c>
      <c r="V8" s="3">
        <f>AVERAGE(P8,T8)</f>
        <v/>
      </c>
      <c r="W8" s="2" t="inlineStr">
        <is>
          <t>Renforcement capacités nationales — base pour prévention pollution marine. / National capacity building — basis for marine pollution prevention.</t>
        </is>
      </c>
    </row>
    <row r="9">
      <c r="A9"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9" s="2" t="inlineStr">
        <is>
          <t>https://www.hassmar.gouv.sn/sites/default/files/reglementations/Decret%20CENPOLMAR_0.pdf</t>
        </is>
      </c>
      <c r="C9" s="2" t="n">
        <v>2021</v>
      </c>
      <c r="D9"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9" s="2" t="n">
        <v>0.75</v>
      </c>
      <c r="F9"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9" s="2" t="n">
        <v>0.75</v>
      </c>
      <c r="H9"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9" s="2" t="n">
        <v>1</v>
      </c>
      <c r="J9" s="2" t="inlineStr">
        <is>
          <t>transport maritime, pêche, environnement, littoral, pétrole et énergies, sécurité maritime / maritime transport, fisheries, environment, coast, oil and gas, maritime security</t>
        </is>
      </c>
      <c r="K9" s="2" t="n">
        <v>0.5</v>
      </c>
      <c r="L9" s="2" t="inlineStr">
        <is>
          <t>utilisation, élimination, milieu marin / use, disposal, marine environment</t>
        </is>
      </c>
      <c r="M9" s="2" t="n">
        <v>0.5</v>
      </c>
      <c r="N9"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9" s="3">
        <f>AVERAGE(G9,I9,K9,M9,P9)</f>
        <v/>
      </c>
      <c r="P9" s="2" t="n">
        <v>0.75</v>
      </c>
      <c r="Q9" s="2" t="inlineStr">
        <is>
          <t>Marine environment</t>
        </is>
      </c>
      <c r="R9" s="2" t="inlineStr">
        <is>
          <t>Art. 5: 'acquisition, entretien et suivi du matériel de lutte contre la pollution marine par hydrocarbures' / 'acquisition, maintenance and monitoring of marine hydrocarbon pollution response equipment'; 'stockage et positionnement du matériel de lutte contre la pollution marine par hydrocarbures' / 'storage and positioning of marine hydrocarbon pollution response equipment'.</t>
        </is>
      </c>
      <c r="S9" s="2" t="n">
        <v>1</v>
      </c>
      <c r="T9" s="2" t="n">
        <v>0.75</v>
      </c>
      <c r="U9" s="2" t="inlineStr">
        <is>
          <t>Art. 9: secondary centres may be established in different maritime zones for equipment positioning.</t>
        </is>
      </c>
      <c r="V9" s="3">
        <f>AVERAGE(P9,T9)</f>
        <v/>
      </c>
      <c r="W9" s="2" t="inlineStr">
        <is>
          <t>Équipements d'intervention — barrières, absorbants, matériel de confinement. / Response equipment — booms, absorbents, containment materials.</t>
        </is>
      </c>
    </row>
    <row r="10">
      <c r="A10"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10" s="2" t="inlineStr">
        <is>
          <t>https://www.hassmar.gouv.sn/sites/default/files/reglementations/Decret%20CENPOLMAR_0.pdf</t>
        </is>
      </c>
      <c r="C10" s="2" t="n">
        <v>2021</v>
      </c>
      <c r="D10"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10" s="2" t="n">
        <v>0.75</v>
      </c>
      <c r="F10"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10" s="2" t="n">
        <v>0.75</v>
      </c>
      <c r="H10"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10" s="2" t="n">
        <v>1</v>
      </c>
      <c r="J10" s="2" t="inlineStr">
        <is>
          <t>transport maritime, pêche, environnement, littoral, pétrole et énergies, sécurité maritime / maritime transport, fisheries, environment, coast, oil and gas, maritime security</t>
        </is>
      </c>
      <c r="K10" s="2" t="n">
        <v>0.5</v>
      </c>
      <c r="L10" s="2" t="inlineStr">
        <is>
          <t>utilisation, élimination, milieu marin / use, disposal, marine environment</t>
        </is>
      </c>
      <c r="M10" s="2" t="n">
        <v>0.5</v>
      </c>
      <c r="N10"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10" s="3">
        <f>AVERAGE(G10,I10,K10,M10,P10)</f>
        <v/>
      </c>
      <c r="P10" s="2" t="n">
        <v>0.5</v>
      </c>
      <c r="Q10" s="2" t="inlineStr">
        <is>
          <t>Marine environment</t>
        </is>
      </c>
      <c r="R10" s="2" t="inlineStr">
        <is>
          <t>Art. 5: 'recherche et développement en matière de pollution marine par hydrocarbures' / 'research and development on marine hydrocarbon pollution'; 'prévision et calcul des dérives des nappes d hydrocarbures' / 'forecasting and calculation of oil-slick drift'; 'fourniture de prestations payantes en rapport avec ses missions' / 'provision of paid services related to its missions'; 'coopération internationale en matière de lutte contre la pollution marine par hydrocarbures' / 'international cooperation on marine hydrocarbon pollution response'.</t>
        </is>
      </c>
      <c r="S10" s="2" t="n">
        <v>1</v>
      </c>
      <c r="T10" s="2" t="n">
        <v>0.5</v>
      </c>
      <c r="U10" s="2" t="inlineStr">
        <is>
          <t>Preamble references international conventions (CNUDM, MARPOL, OPRC, Abidjan Convention); enables technical cooperation and modelling capacity.</t>
        </is>
      </c>
      <c r="V10" s="3">
        <f>AVERAGE(P10,T10)</f>
        <v/>
      </c>
      <c r="W10" s="2" t="inlineStr">
        <is>
          <t>R&amp;D et coopération internationale — alignement normes SSEC et conventions maritimes. / R&amp;D and international cooperation — SSEC standards and maritime conventions alignment.</t>
        </is>
      </c>
    </row>
    <row r="11">
      <c r="A11"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11" s="2" t="inlineStr">
        <is>
          <t>https://www.hassmar.gouv.sn/sites/default/files/reglementations/Decret%20CENPOLMAR_0.pdf</t>
        </is>
      </c>
      <c r="C11" s="2" t="n">
        <v>2021</v>
      </c>
      <c r="D11"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11" s="2" t="n">
        <v>0.75</v>
      </c>
      <c r="F11"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11" s="2" t="n">
        <v>0.75</v>
      </c>
      <c r="H11"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11" s="2" t="n">
        <v>1</v>
      </c>
      <c r="J11" s="2" t="inlineStr">
        <is>
          <t>transport maritime, pêche, environnement, littoral, pétrole et énergies, sécurité maritime / maritime transport, fisheries, environment, coast, oil and gas, maritime security</t>
        </is>
      </c>
      <c r="K11" s="2" t="n">
        <v>0.5</v>
      </c>
      <c r="L11" s="2" t="inlineStr">
        <is>
          <t>utilisation, élimination, milieu marin / use, disposal, marine environment</t>
        </is>
      </c>
      <c r="M11" s="2" t="n">
        <v>0.5</v>
      </c>
      <c r="N11"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11" s="3">
        <f>AVERAGE(G11,I11,K11,M11,P11)</f>
        <v/>
      </c>
      <c r="P11" s="2" t="n">
        <v>0.75</v>
      </c>
      <c r="Q11" s="2" t="inlineStr">
        <is>
          <t>Governance</t>
        </is>
      </c>
      <c r="R11" s="2" t="inlineStr">
        <is>
          <t>Arts. 6–11: Director (naval officer or MEDD hierarchy-A specialist); technical adviser to HASSMAR SG; organigramme by HASSMAR SG; secondary maritime centres (Art. 9); appointments and hierarchical authority (Art. 10); HR from detached civil/military/paramilitary staff or suspended agents; contractual recruitment possible (Art. 11).</t>
        </is>
      </c>
      <c r="S11" s="2" t="n">
        <v>1</v>
      </c>
      <c r="T11" s="2" t="n">
        <v>0.75</v>
      </c>
      <c r="U11" s="2" t="inlineStr">
        <is>
          <t>Inter-ministerial staffing (Armed Forces, Interior, Fisheries, Environment, etc. per Art. 13); operational structure for 24/7 coordination.</t>
        </is>
      </c>
      <c r="V11" s="3">
        <f>AVERAGE(P11,T11)</f>
        <v/>
      </c>
      <c r="W11" s="2" t="inlineStr">
        <is>
          <t>Gouvernance opérationnelle interministérielle — MEDD impliqué à la direction. / Inter-ministerial operational governance — MEDD involved in leadership.</t>
        </is>
      </c>
    </row>
    <row r="12">
      <c r="A12"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12" s="2" t="inlineStr">
        <is>
          <t>https://www.hassmar.gouv.sn/sites/default/files/reglementations/Decret%20CENPOLMAR_0.pdf</t>
        </is>
      </c>
      <c r="C12" s="2" t="n">
        <v>2021</v>
      </c>
      <c r="D12"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12" s="2" t="n">
        <v>0.75</v>
      </c>
      <c r="F12"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12" s="2" t="n">
        <v>0.75</v>
      </c>
      <c r="H12"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12" s="2" t="n">
        <v>1</v>
      </c>
      <c r="J12" s="2" t="inlineStr">
        <is>
          <t>transport maritime, pêche, environnement, littoral, pétrole et énergies, sécurité maritime / maritime transport, fisheries, environment, coast, oil and gas, maritime security</t>
        </is>
      </c>
      <c r="K12" s="2" t="n">
        <v>0.5</v>
      </c>
      <c r="L12" s="2" t="inlineStr">
        <is>
          <t>utilisation, élimination, milieu marin / use, disposal, marine environment</t>
        </is>
      </c>
      <c r="M12" s="2" t="n">
        <v>0.5</v>
      </c>
      <c r="N12"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12" s="3">
        <f>AVERAGE(G12,I12,K12,M12,P12)</f>
        <v/>
      </c>
      <c r="P12" s="2" t="n">
        <v>0.6</v>
      </c>
      <c r="Q12" s="2" t="inlineStr">
        <is>
          <t>Governance</t>
        </is>
      </c>
      <c r="R12" s="2" t="inlineStr">
        <is>
          <t>Art. 12: CENPOLMAR funding from HASSMAR budget, national/international grants, private-sector services, exceptional contributions, donations/bequests and international cooperation.</t>
        </is>
      </c>
      <c r="S12" s="2" t="n">
        <v>1</v>
      </c>
      <c r="T12" s="2" t="n">
        <v>0.5</v>
      </c>
      <c r="U12" s="2" t="inlineStr">
        <is>
          <t>Diversified financing beyond State budget; paid services (Art. 5) provide additional revenue stream.</t>
        </is>
      </c>
      <c r="V12" s="3">
        <f>AVERAGE(P12,T12)</f>
        <v/>
      </c>
      <c r="W12" s="2" t="inlineStr">
        <is>
          <t>Financement diversifié — complète fonds POLMAR (Arrêté 07022 Art. 80). / Diversified financing — complements POLMAR fund (Order 07022 Art. 80).</t>
        </is>
      </c>
    </row>
    <row r="13">
      <c r="A13" s="2" t="inlineStr">
        <is>
          <t>Décret n° 2021-1115 du 25 août 2021 portant création du Centre national de Coordination de la Lutte contre la Pollution marine (CENPOLMAR) / Decree No. 2021-1115 of 25 August 2021 establishing the National Marine Pollution Response Coordination Centre (CENPOLMAR)</t>
        </is>
      </c>
      <c r="B13" s="2" t="inlineStr">
        <is>
          <t>https://www.hassmar.gouv.sn/sites/default/files/reglementations/Decret%20CENPOLMAR_0.pdf</t>
        </is>
      </c>
      <c r="C13" s="2" t="n">
        <v>2021</v>
      </c>
      <c r="D13" s="2" t="inlineStr">
        <is>
          <t>Créer le CENPOLMAR au sein de la HASSMAR comme organe opérationnel de coordination de la lutte contre la pollution marine par hydrocarbures, avec veille environnementale permanente, appui aux plans POLMAR et POLMAR-TERRE, suivi du traitement des déchets issus de pollutions, formation, équipements, R&amp;D et coopération internationale — renforce indirectement la gouvernance de la pollution côtière et marine (débris marins) sans mesures spécifiques aux plastiques. / Establish CENPOLMAR within HASSMAR as the operational coordination body for marine hydrocarbon pollution response, with permanent environmental watch, support to POLMAR and POLMAR-TERRE plans, oversight of pollution-related waste treatment, training, equipment, R&amp;D and international cooperation — indirectly strengthening coastal/marine pollution governance (marine debris) without plastic-specific measures.</t>
        </is>
      </c>
      <c r="E13" s="2" t="n">
        <v>0.75</v>
      </c>
      <c r="F13" s="2" t="inlineStr">
        <is>
          <t>Art. 2: 'organe opérationnel de la HASSMAR en matière de coordination de la lutte contre la pollution marine par hydrocarbures' / 'HASSMAR operational body for coordinating marine hydrocarbon pollution response'; Art. 5: 'participation à la surveillance, au contrôle et suivi du traitement des déchets résultant d une pollution marine par hydrocarbures' / 'participation in surveillance, control and follow-up of waste treatment from hydrocarbon marine pollution'.</t>
        </is>
      </c>
      <c r="G13" s="2" t="n">
        <v>0.75</v>
      </c>
      <c r="H13" s="2" t="inlineStr">
        <is>
          <t>Décret présidentiel du 25 août 2021 créant un centre opérationnel national au sein de la HASSMAR (texte réglementaire institutionnel/organisationnel, ≠1.0 loi). Publié au JO n° 7470 du 13 novembre 2021. Complète Arrêté 07022/2009 (POLMAR). / Presidential decree of 25 August 2021 establishing a national operational centre within HASSMAR (institutional/organisational regulation, ≠1.0 law). Published in Official Gazette No. 7470 of 13 November 2021. Complements Order 07022/2009 (POLMAR).</t>
        </is>
      </c>
      <c r="I13" s="2" t="n">
        <v>1</v>
      </c>
      <c r="J13" s="2" t="inlineStr">
        <is>
          <t>transport maritime, pêche, environnement, littoral, pétrole et énergies, sécurité maritime / maritime transport, fisheries, environment, coast, oil and gas, maritime security</t>
        </is>
      </c>
      <c r="K13" s="2" t="n">
        <v>0.5</v>
      </c>
      <c r="L13" s="2" t="inlineStr">
        <is>
          <t>utilisation, élimination, milieu marin / use, disposal, marine environment</t>
        </is>
      </c>
      <c r="M13" s="2" t="n">
        <v>0.5</v>
      </c>
      <c r="N13" s="2" t="inlineStr">
        <is>
          <t>Art. 12: CENPOLMAR resources from 'budget de la HASSMAR' / 'HASSMAR budget', 'subventions de partenaires nationaux ou internationaux' / 'grants from national or international partners', 'prestations d acteurs du secteur privé national' / 'services from national private-sector actors', 'financements, contributions ou subventions exceptionnelles' / 'exceptional financing, contributions or grants', 'dons et legs' / 'donations and bequests' and 'coopération internationale' / 'international cooperation'.</t>
        </is>
      </c>
      <c r="O13" s="3">
        <f>AVERAGE(G13,I13,K13,M13,P13)</f>
        <v/>
      </c>
      <c r="P13" s="2" t="n">
        <v>0.75</v>
      </c>
      <c r="Q13" s="2" t="inlineStr">
        <is>
          <t>Governance</t>
        </is>
      </c>
      <c r="R13" s="2" t="inlineStr">
        <is>
          <t>Art. 13: execution by Ministers of Presidency, Government Secretariat, Armed Forces, Interior, Finance, Fisheries and Maritime Economy, Justice, Petroleum and Energy, Transport, and Environment and Sustainable Development; decree to be published in Official Gazette.</t>
        </is>
      </c>
      <c r="S13" s="2" t="n">
        <v>1</v>
      </c>
      <c r="T13" s="2" t="n">
        <v>1</v>
      </c>
      <c r="U13" s="2" t="inlineStr">
        <is>
          <t>Signed Dakar 25 August 2021; published JO 7470 of 13 November 2021. CENPOLMAR operational within HASSMAR.</t>
        </is>
      </c>
      <c r="V13" s="3">
        <f>AVERAGE(P13,T13)</f>
        <v/>
      </c>
      <c r="W13" s="2" t="inlineStr">
        <is>
          <t>Texte en vigueur — centre opérationnel actif au sein HASSMAR. / Instrument in force — operational centre active within HASSMAR.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2026-07-22T13:05:05Z</dcterms:created>
  <dcterms:modified xmlns:dcterms="http://purl.org/dc/terms/" xmlns:xsi="http://www.w3.org/2001/XMLSchema-instance" xsi:type="dcterms:W3CDTF">2026-07-22T13:05:05Z</dcterms:modified>
</cp:coreProperties>
</file>