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8" customWidth="1" min="3" max="3"/>
    <col width="40" customWidth="1" min="4" max="4"/>
    <col width="8" customWidth="1" min="5" max="5"/>
    <col width="35" customWidth="1" min="6" max="6"/>
    <col width="8" customWidth="1" min="7" max="7"/>
    <col width="30" customWidth="1" min="8" max="8"/>
    <col width="8" customWidth="1" min="9" max="9"/>
    <col width="30" customWidth="1" min="10" max="10"/>
    <col width="8" customWidth="1" min="11" max="11"/>
    <col width="28" customWidth="1" min="12" max="12"/>
    <col width="8" customWidth="1" min="13" max="13"/>
    <col width="30" customWidth="1" min="14" max="14"/>
    <col width="10" customWidth="1" min="15" max="15"/>
    <col width="8" customWidth="1" min="16" max="16"/>
    <col width="18" customWidth="1" min="17" max="17"/>
    <col width="45" customWidth="1" min="18" max="18"/>
    <col width="8" customWidth="1" min="19" max="19"/>
    <col width="8" customWidth="1" min="20" max="20"/>
    <col width="35" customWidth="1" min="21" max="21"/>
    <col width="10" customWidth="1" min="22" max="22"/>
    <col width="35" customWidth="1" min="23" max="23"/>
  </cols>
  <sheetData>
    <row r="1">
      <c r="A1" s="1" t="inlineStr">
        <is>
          <t>A_policy_name</t>
        </is>
      </c>
      <c r="B1" s="1" t="inlineStr">
        <is>
          <t>B_policy_url</t>
        </is>
      </c>
      <c r="C1" s="1" t="inlineStr">
        <is>
          <t>C_policy_year</t>
        </is>
      </c>
      <c r="D1" s="1" t="inlineStr">
        <is>
          <t>D_policy_objective</t>
        </is>
      </c>
      <c r="E1" s="1" t="inlineStr">
        <is>
          <t>E_policy_target</t>
        </is>
      </c>
      <c r="F1" s="1" t="inlineStr">
        <is>
          <t>F_policy_target_text</t>
        </is>
      </c>
      <c r="G1" s="1" t="inlineStr">
        <is>
          <t>G_policy_type</t>
        </is>
      </c>
      <c r="H1" s="1" t="inlineStr">
        <is>
          <t>H_policy_type_justification</t>
        </is>
      </c>
      <c r="I1" s="1" t="inlineStr">
        <is>
          <t>I_policy_integration</t>
        </is>
      </c>
      <c r="J1" s="1" t="inlineStr">
        <is>
          <t>J_policy_sectors_list</t>
        </is>
      </c>
      <c r="K1" s="1" t="inlineStr">
        <is>
          <t>K_policy_circularity</t>
        </is>
      </c>
      <c r="L1" s="1" t="inlineStr">
        <is>
          <t>L_policy_lifecycle_phases_list</t>
        </is>
      </c>
      <c r="M1" s="1" t="inlineStr">
        <is>
          <t>M_policy_budget</t>
        </is>
      </c>
      <c r="N1" s="1" t="inlineStr">
        <is>
          <t>N_policy_budget_text</t>
        </is>
      </c>
      <c r="O1" s="1" t="inlineStr">
        <is>
          <t>O_policy_score</t>
        </is>
      </c>
      <c r="P1" s="1" t="inlineStr">
        <is>
          <t>P_instrument_type</t>
        </is>
      </c>
      <c r="Q1" s="1" t="inlineStr">
        <is>
          <t>Q_instrument_lifecycle_stage</t>
        </is>
      </c>
      <c r="R1" s="1" t="inlineStr">
        <is>
          <t>R_instrument_description</t>
        </is>
      </c>
      <c r="S1" s="1" t="inlineStr">
        <is>
          <t>S_instrument_in_force</t>
        </is>
      </c>
      <c r="T1" s="1" t="inlineStr">
        <is>
          <t>T_instrument_implementation</t>
        </is>
      </c>
      <c r="U1" s="1" t="inlineStr">
        <is>
          <t>U_instrument_implementation_text</t>
        </is>
      </c>
      <c r="V1" s="1" t="inlineStr">
        <is>
          <t>V_instrument_score</t>
        </is>
      </c>
      <c r="W1" s="1" t="inlineStr">
        <is>
          <t>W_comments</t>
        </is>
      </c>
    </row>
    <row r="2">
      <c r="A2" s="2" t="inlineStr">
        <is>
          <t>Política Nacional do Ambiente (Resolução n.º 5/95)</t>
        </is>
      </c>
      <c r="B2" s="2" t="inlineStr">
        <is>
          <t>not available</t>
        </is>
      </c>
      <c r="C2" s="2" t="n">
        <v>1995</v>
      </c>
      <c r="D2" s="2" t="inlineStr">
        <is>
          <t>Establish national environmental policy principles for sustainable development, pollution prevention, public participation, and integration of environmental considerations into socio-economic planning.</t>
        </is>
      </c>
      <c r="E2" s="2" t="n">
        <v>0</v>
      </c>
      <c r="F2" s="2" t="inlineStr"/>
      <c r="G2" s="3" t="n">
        <v>0.25</v>
      </c>
      <c r="H2" s="2" t="inlineStr">
        <is>
          <t>Council of Ministers resolution approving a national environmental policy (strategy-level instrument, not legislation).</t>
        </is>
      </c>
      <c r="I2" s="3" t="n">
        <v>1</v>
      </c>
      <c r="J2" s="2" t="inlineStr">
        <is>
          <t>environment, industry, agriculture, municipalities, fisheries, tourism, water, waste management</t>
        </is>
      </c>
      <c r="K2" s="3" t="n">
        <v>0.75</v>
      </c>
      <c r="L2" s="2" t="inlineStr">
        <is>
          <t>production, consumption, disposal, environmental leakage</t>
        </is>
      </c>
      <c r="M2" s="3" t="n">
        <v>0</v>
      </c>
      <c r="N2" s="2" t="inlineStr"/>
      <c r="O2" s="3">
        <f>AVERAGE(G2,I2,K2,M2,P2)</f>
        <v/>
      </c>
      <c r="P2" s="3" t="n">
        <v>0.2</v>
      </c>
      <c r="Q2" s="2" t="inlineStr">
        <is>
          <t>Waste management</t>
        </is>
      </c>
      <c r="R2" s="2" t="inlineStr">
        <is>
          <t>Establishes polluter-pays principle and framework for environmental management across sectors (Section 2.2), enabling coordinated pollution prevention including plastic waste pressures.</t>
        </is>
      </c>
      <c r="S2" s="3" t="n">
        <v>1</v>
      </c>
      <c r="T2" s="3" t="n">
        <v>0.25</v>
      </c>
      <c r="U2" s="2" t="inlineStr">
        <is>
          <t>Assigns government responsibility for environmental policy implementation; no explicit fines in policy text itself.</t>
        </is>
      </c>
      <c r="V2" s="3">
        <f>AVERAGE(P2,T2)</f>
        <v/>
      </c>
      <c r="W2" s="2" t="inlineStr">
        <is>
          <t>Full-text PDF not publicly available; coded from verified legal-framework references on sibmoz.gov.mz.</t>
        </is>
      </c>
    </row>
    <row r="3">
      <c r="A3" s="2" t="inlineStr">
        <is>
          <t>Política Nacional do Ambiente (Resolução n.º 5/95)</t>
        </is>
      </c>
      <c r="B3" s="2" t="inlineStr">
        <is>
          <t>not available</t>
        </is>
      </c>
      <c r="C3" s="2" t="n">
        <v>1995</v>
      </c>
      <c r="D3" s="2" t="inlineStr">
        <is>
          <t>Establish national environmental policy principles for sustainable development, pollution prevention, public participation, and integration of environmental considerations into socio-economic planning.</t>
        </is>
      </c>
      <c r="E3" s="2" t="n">
        <v>0</v>
      </c>
      <c r="F3" s="2" t="inlineStr"/>
      <c r="G3" s="3" t="n">
        <v>0.25</v>
      </c>
      <c r="H3" s="2" t="inlineStr">
        <is>
          <t>Council of Ministers resolution approving a national environmental policy (strategy-level instrument, not legislation).</t>
        </is>
      </c>
      <c r="I3" s="3" t="n">
        <v>1</v>
      </c>
      <c r="J3" s="2" t="inlineStr">
        <is>
          <t>environment, industry, agriculture, municipalities, fisheries, tourism, water, waste management</t>
        </is>
      </c>
      <c r="K3" s="3" t="n">
        <v>0.75</v>
      </c>
      <c r="L3" s="2" t="inlineStr">
        <is>
          <t>production, consumption, disposal, environmental leakage</t>
        </is>
      </c>
      <c r="M3" s="3" t="n">
        <v>0</v>
      </c>
      <c r="N3" s="2" t="inlineStr"/>
      <c r="O3" s="3">
        <f>AVERAGE(G3,I3,K3,M3,P3)</f>
        <v/>
      </c>
      <c r="P3" s="3" t="n">
        <v>0.4</v>
      </c>
      <c r="Q3" s="2" t="inlineStr">
        <is>
          <t>Consumption</t>
        </is>
      </c>
      <c r="R3" s="2" t="inlineStr">
        <is>
          <t>Commits to environmental education and public awareness (Section 2.3.5) to reduce pollution including litter and improper waste disposal.</t>
        </is>
      </c>
      <c r="S3" s="3" t="n">
        <v>1</v>
      </c>
      <c r="T3" s="3" t="n">
        <v>0.25</v>
      </c>
      <c r="U3" s="2" t="inlineStr">
        <is>
          <t>Strategy calls for education programmes at all schooling levels; no enforcement mechanism in policy text.</t>
        </is>
      </c>
      <c r="V3" s="3">
        <f>AVERAGE(P3,T3)</f>
        <v/>
      </c>
      <c r="W3" s="2" t="inlineStr">
        <is>
          <t>Information/voluntary instrument at policy level.</t>
        </is>
      </c>
    </row>
    <row r="4">
      <c r="A4" s="2" t="inlineStr">
        <is>
          <t>Lei do Ambiente (Lei n.º 20/97)</t>
        </is>
      </c>
      <c r="B4" s="2" t="inlineStr">
        <is>
          <t>https://sibmoz.gov.mz/content/uploads/2022/01/1547563349-Lei-do-Ambiente.pdf</t>
        </is>
      </c>
      <c r="C4" s="2" t="n">
        <v>1997</v>
      </c>
      <c r="D4" s="2" t="inlineStr">
        <is>
          <t>Define legal bases for correct use and management of the environment, prohibit unauthorized pollutant releases, and establish environmental licensing and sustainable development framework applicable to plastic pollution.</t>
        </is>
      </c>
      <c r="E4" s="2" t="n">
        <v>0</v>
      </c>
      <c r="F4" s="2" t="inlineStr"/>
      <c r="G4" s="3" t="n">
        <v>1</v>
      </c>
      <c r="H4" s="2" t="inlineStr">
        <is>
          <t>Environmental Law enacted by the Assembly of the Republic (Parliament) on 1 October 1997.</t>
        </is>
      </c>
      <c r="I4" s="3" t="n">
        <v>1</v>
      </c>
      <c r="J4" s="2" t="inlineStr">
        <is>
          <t>environment, industry, municipalities, agriculture, mining, energy, fisheries, tourism, waste management</t>
        </is>
      </c>
      <c r="K4" s="3" t="n">
        <v>1</v>
      </c>
      <c r="L4" s="2" t="inlineStr">
        <is>
          <t>production, consumption, recycling, disposal, environmental leakage</t>
        </is>
      </c>
      <c r="M4" s="3" t="n">
        <v>0</v>
      </c>
      <c r="N4" s="2" t="inlineStr"/>
      <c r="O4" s="3">
        <f>AVERAGE(G4,I4,K4,M4,P4)</f>
        <v/>
      </c>
      <c r="P4" s="3" t="n">
        <v>1</v>
      </c>
      <c r="Q4" s="2" t="inlineStr">
        <is>
          <t>Production</t>
        </is>
      </c>
      <c r="R4" s="2" t="inlineStr">
        <is>
          <t>Art. 7: Prohibits release of pollutants into the environment without authorization; applies to industrial activities producing plastic goods and packaging.</t>
        </is>
      </c>
      <c r="S4" s="3" t="n">
        <v>1</v>
      </c>
      <c r="T4" s="3" t="n">
        <v>0.75</v>
      </c>
      <c r="U4" s="2" t="inlineStr">
        <is>
          <t>Establishes environmental licensing; penalties for violations; monitoring through environmental authorities.</t>
        </is>
      </c>
      <c r="V4" s="3">
        <f>AVERAGE(P4,T4)</f>
        <v/>
      </c>
      <c r="W4" s="2" t="inlineStr">
        <is>
          <t>Uploaded user PDF (Environmental_law_13c6.pdf) appears to be image-based Lei 20/97; coding aligned with official sibmoz text references.</t>
        </is>
      </c>
    </row>
    <row r="5">
      <c r="A5" s="2" t="inlineStr">
        <is>
          <t>Lei do Ambiente (Lei n.º 20/97)</t>
        </is>
      </c>
      <c r="B5" s="2" t="inlineStr">
        <is>
          <t>https://sibmoz.gov.mz/content/uploads/2022/01/1547563349-Lei-do-Ambiente.pdf</t>
        </is>
      </c>
      <c r="C5" s="2" t="n">
        <v>1997</v>
      </c>
      <c r="D5" s="2" t="inlineStr">
        <is>
          <t>Define legal bases for correct use and management of the environment, prohibit unauthorized pollutant releases, and establish environmental licensing and sustainable development framework applicable to plastic pollution.</t>
        </is>
      </c>
      <c r="E5" s="2" t="n">
        <v>0</v>
      </c>
      <c r="F5" s="2" t="inlineStr"/>
      <c r="G5" s="3" t="n">
        <v>1</v>
      </c>
      <c r="H5" s="2" t="inlineStr">
        <is>
          <t>Environmental Law enacted by the Assembly of the Republic (Parliament) on 1 October 1997.</t>
        </is>
      </c>
      <c r="I5" s="3" t="n">
        <v>1</v>
      </c>
      <c r="J5" s="2" t="inlineStr">
        <is>
          <t>environment, industry, municipalities, agriculture, mining, energy, fisheries, tourism, waste management</t>
        </is>
      </c>
      <c r="K5" s="3" t="n">
        <v>1</v>
      </c>
      <c r="L5" s="2" t="inlineStr">
        <is>
          <t>production, consumption, recycling, disposal, environmental leakage</t>
        </is>
      </c>
      <c r="M5" s="3" t="n">
        <v>0</v>
      </c>
      <c r="N5" s="2" t="inlineStr"/>
      <c r="O5" s="3">
        <f>AVERAGE(G5,I5,K5,M5,P5)</f>
        <v/>
      </c>
      <c r="P5" s="3" t="n">
        <v>0.2</v>
      </c>
      <c r="Q5" s="2" t="inlineStr">
        <is>
          <t>Waste management</t>
        </is>
      </c>
      <c r="R5" s="2" t="inlineStr">
        <is>
          <t>Art. 33: Authorises executive regulation of waste management, enabling Decreto 94/2014 and sectoral plastic-waste rules.</t>
        </is>
      </c>
      <c r="S5" s="3" t="n">
        <v>1</v>
      </c>
      <c r="T5" s="3" t="n">
        <v>0.5</v>
      </c>
      <c r="U5" s="2" t="inlineStr">
        <is>
          <t>Delegates waste regulation to Council of Ministers; exercised through Decreto 94/2014 and related decrees.</t>
        </is>
      </c>
      <c r="V5" s="3">
        <f>AVERAGE(P5,T5)</f>
        <v/>
      </c>
      <c r="W5" s="2" t="inlineStr">
        <is>
          <t>Enabling power exercised via subordinate regulations.</t>
        </is>
      </c>
    </row>
    <row r="6">
      <c r="A6" s="2" t="inlineStr">
        <is>
          <t>Lei do Ambiente (Lei n.º 20/97)</t>
        </is>
      </c>
      <c r="B6" s="2" t="inlineStr">
        <is>
          <t>https://sibmoz.gov.mz/content/uploads/2022/01/1547563349-Lei-do-Ambiente.pdf</t>
        </is>
      </c>
      <c r="C6" s="2" t="n">
        <v>1997</v>
      </c>
      <c r="D6" s="2" t="inlineStr">
        <is>
          <t>Define legal bases for correct use and management of the environment, prohibit unauthorized pollutant releases, and establish environmental licensing and sustainable development framework applicable to plastic pollution.</t>
        </is>
      </c>
      <c r="E6" s="2" t="n">
        <v>0</v>
      </c>
      <c r="F6" s="2" t="inlineStr"/>
      <c r="G6" s="3" t="n">
        <v>1</v>
      </c>
      <c r="H6" s="2" t="inlineStr">
        <is>
          <t>Environmental Law enacted by the Assembly of the Republic (Parliament) on 1 October 1997.</t>
        </is>
      </c>
      <c r="I6" s="3" t="n">
        <v>1</v>
      </c>
      <c r="J6" s="2" t="inlineStr">
        <is>
          <t>environment, industry, municipalities, agriculture, mining, energy, fisheries, tourism, waste management</t>
        </is>
      </c>
      <c r="K6" s="3" t="n">
        <v>1</v>
      </c>
      <c r="L6" s="2" t="inlineStr">
        <is>
          <t>production, consumption, recycling, disposal, environmental leakage</t>
        </is>
      </c>
      <c r="M6" s="3" t="n">
        <v>0</v>
      </c>
      <c r="N6" s="2" t="inlineStr"/>
      <c r="O6" s="3">
        <f>AVERAGE(G6,I6,K6,M6,P6)</f>
        <v/>
      </c>
      <c r="P6" s="3" t="n">
        <v>0.2</v>
      </c>
      <c r="Q6" s="2" t="inlineStr">
        <is>
          <t>Environmental leakage</t>
        </is>
      </c>
      <c r="R6" s="2" t="inlineStr">
        <is>
          <t>Creates CONDES consultative body and framework for public participation in environmental decisions affecting waste and pollution.</t>
        </is>
      </c>
      <c r="S6" s="3" t="n">
        <v>1</v>
      </c>
      <c r="T6" s="3" t="n">
        <v>0.25</v>
      </c>
      <c r="U6" s="2" t="inlineStr">
        <is>
          <t>Institutional coordination mechanism; no direct penalties in this provision.</t>
        </is>
      </c>
      <c r="V6" s="3">
        <f>AVERAGE(P6,T6)</f>
        <v/>
      </c>
      <c r="W6" s="2" t="inlineStr">
        <is>
          <t>Governance/coordination instrument.</t>
        </is>
      </c>
    </row>
    <row r="7">
      <c r="A7" s="2" t="inlineStr">
        <is>
          <t>Regulamento sobre a Gestão e Controlo do Saco de Plástico (Decreto n.º 16/2015)</t>
        </is>
      </c>
      <c r="B7" s="2" t="inlineStr">
        <is>
          <t>https://sibmoz.gov.mz/content/uploads/2022/01/Regulamento-Sobre-a-Gestao-e-Controlo-do-Saco-de-Plastico.pdf</t>
        </is>
      </c>
      <c r="C7" s="2" t="n">
        <v>2015</v>
      </c>
      <c r="D7" s="2" t="inlineStr">
        <is>
          <t>Regulate production, import, marketing and use of plastic bags to reduce health, infrastructure, biodiversity and environmental impacts of non-biodegradable plastic bags.</t>
        </is>
      </c>
      <c r="E7" s="2" t="n">
        <v>0</v>
      </c>
      <c r="F7" s="2" t="inlineStr"/>
      <c r="G7" s="3" t="n">
        <v>0.75</v>
      </c>
      <c r="H7" s="2" t="inlineStr">
        <is>
          <t>Executive decree (Decreto 16/2015) approved by Council of Ministers, 5 August 2015.</t>
        </is>
      </c>
      <c r="I7" s="3" t="n">
        <v>0.5</v>
      </c>
      <c r="J7" s="2" t="inlineStr">
        <is>
          <t>production, retail, industry, municipalities, waste management, packaging</t>
        </is>
      </c>
      <c r="K7" s="3" t="n">
        <v>0.75</v>
      </c>
      <c r="L7" s="2" t="inlineStr">
        <is>
          <t>production, consumption, recycling, disposal</t>
        </is>
      </c>
      <c r="M7" s="3" t="n">
        <v>0.5</v>
      </c>
      <c r="N7" s="2" t="inlineStr">
        <is>
          <t>Art. 8: Fines allocated 40% State Budget, 30% Environment Fund, 30% inspecting entity.</t>
        </is>
      </c>
      <c r="O7" s="3">
        <f>AVERAGE(G7,I7,K7,M7,P7)</f>
        <v/>
      </c>
      <c r="P7" s="3" t="n">
        <v>1</v>
      </c>
      <c r="Q7" s="2" t="inlineStr">
        <is>
          <t>Production</t>
        </is>
      </c>
      <c r="R7" s="2" t="inlineStr">
        <is>
          <t>Art. 4(1)(a): Prohibits production, import, wholesale/retail marketing of plastic bags with thickness below 30 micrometres (exceptions for food weighing bags and municipal waste bags).</t>
        </is>
      </c>
      <c r="S7" s="3" t="n">
        <v>1</v>
      </c>
      <c r="T7" s="3" t="n">
        <v>1</v>
      </c>
      <c r="U7" s="2" t="inlineStr">
        <is>
          <t>Art. 6-7: MAAP, Finance, Industry, INAE and municipalities assigned; Art. 7 fines 40-80 minimum wages; monitoring and inspection duties explicit.</t>
        </is>
      </c>
      <c r="V7" s="3">
        <f>AVERAGE(P7,T7)</f>
        <v/>
      </c>
      <c r="W7" s="2" t="inlineStr">
        <is>
          <t>Core plastic-bag ban instrument; phased entry for import/production bans per Art. 3(2).</t>
        </is>
      </c>
    </row>
    <row r="8">
      <c r="A8" s="2" t="inlineStr">
        <is>
          <t>Regulamento sobre a Gestão e Controlo do Saco de Plástico (Decreto n.º 16/2015)</t>
        </is>
      </c>
      <c r="B8" s="2" t="inlineStr">
        <is>
          <t>https://sibmoz.gov.mz/content/uploads/2022/01/Regulamento-Sobre-a-Gestao-e-Controlo-do-Saco-de-Plastico.pdf</t>
        </is>
      </c>
      <c r="C8" s="2" t="n">
        <v>2015</v>
      </c>
      <c r="D8" s="2" t="inlineStr">
        <is>
          <t>Regulate production, import, marketing and use of plastic bags to reduce health, infrastructure, biodiversity and environmental impacts of non-biodegradable plastic bags.</t>
        </is>
      </c>
      <c r="E8" s="2" t="n">
        <v>0</v>
      </c>
      <c r="F8" s="2" t="inlineStr"/>
      <c r="G8" s="3" t="n">
        <v>0.75</v>
      </c>
      <c r="H8" s="2" t="inlineStr">
        <is>
          <t>Executive decree (Decreto 16/2015) approved by Council of Ministers, 5 August 2015.</t>
        </is>
      </c>
      <c r="I8" s="3" t="n">
        <v>0.5</v>
      </c>
      <c r="J8" s="2" t="inlineStr">
        <is>
          <t>production, retail, industry, municipalities, waste management, packaging</t>
        </is>
      </c>
      <c r="K8" s="3" t="n">
        <v>0.75</v>
      </c>
      <c r="L8" s="2" t="inlineStr">
        <is>
          <t>production, consumption, recycling, disposal</t>
        </is>
      </c>
      <c r="M8" s="3" t="n">
        <v>0.5</v>
      </c>
      <c r="N8" s="2" t="inlineStr">
        <is>
          <t>Art. 8: Fines allocated 40% State Budget, 30% Environment Fund, 30% inspecting entity.</t>
        </is>
      </c>
      <c r="O8" s="3">
        <f>AVERAGE(G8,I8,K8,M8,P8)</f>
        <v/>
      </c>
      <c r="P8" s="3" t="n">
        <v>1</v>
      </c>
      <c r="Q8" s="2" t="inlineStr">
        <is>
          <t>Consumption</t>
        </is>
      </c>
      <c r="R8" s="2" t="inlineStr">
        <is>
          <t>Art. 4(1)(b): Prohibits free distribution of plastic bags at commercial premises; Art. 5(4): mandatory separate price display for bags.</t>
        </is>
      </c>
      <c r="S8" s="3" t="n">
        <v>1</v>
      </c>
      <c r="T8" s="3" t="n">
        <v>0.75</v>
      </c>
      <c r="U8" s="2" t="inlineStr">
        <is>
          <t>Fines for free distribution (25 min. wages) and failure to display price (30 min. wages); INAE inspection.</t>
        </is>
      </c>
      <c r="V8" s="3">
        <f>AVERAGE(P8,T8)</f>
        <v/>
      </c>
      <c r="W8" s="2" t="inlineStr"/>
    </row>
    <row r="9">
      <c r="A9" s="2" t="inlineStr">
        <is>
          <t>Regulamento sobre a Gestão e Controlo do Saco de Plástico (Decreto n.º 16/2015)</t>
        </is>
      </c>
      <c r="B9" s="2" t="inlineStr">
        <is>
          <t>https://sibmoz.gov.mz/content/uploads/2022/01/Regulamento-Sobre-a-Gestao-e-Controlo-do-Saco-de-Plastico.pdf</t>
        </is>
      </c>
      <c r="C9" s="2" t="n">
        <v>2015</v>
      </c>
      <c r="D9" s="2" t="inlineStr">
        <is>
          <t>Regulate production, import, marketing and use of plastic bags to reduce health, infrastructure, biodiversity and environmental impacts of non-biodegradable plastic bags.</t>
        </is>
      </c>
      <c r="E9" s="2" t="n">
        <v>0</v>
      </c>
      <c r="F9" s="2" t="inlineStr"/>
      <c r="G9" s="3" t="n">
        <v>0.75</v>
      </c>
      <c r="H9" s="2" t="inlineStr">
        <is>
          <t>Executive decree (Decreto 16/2015) approved by Council of Ministers, 5 August 2015.</t>
        </is>
      </c>
      <c r="I9" s="3" t="n">
        <v>0.5</v>
      </c>
      <c r="J9" s="2" t="inlineStr">
        <is>
          <t>production, retail, industry, municipalities, waste management, packaging</t>
        </is>
      </c>
      <c r="K9" s="3" t="n">
        <v>0.75</v>
      </c>
      <c r="L9" s="2" t="inlineStr">
        <is>
          <t>production, consumption, recycling, disposal</t>
        </is>
      </c>
      <c r="M9" s="3" t="n">
        <v>0.5</v>
      </c>
      <c r="N9" s="2" t="inlineStr">
        <is>
          <t>Art. 8: Fines allocated 40% State Budget, 30% Environment Fund, 30% inspecting entity.</t>
        </is>
      </c>
      <c r="O9" s="3">
        <f>AVERAGE(G9,I9,K9,M9,P9)</f>
        <v/>
      </c>
      <c r="P9" s="3" t="n">
        <v>1</v>
      </c>
      <c r="Q9" s="2" t="inlineStr">
        <is>
          <t>Production</t>
        </is>
      </c>
      <c r="R9" s="2" t="inlineStr">
        <is>
          <t>Art. 4(1)(c) &amp; Art. 5: Restricts bags with &gt;40% recycled content in food retail; mandates labelling (company, thickness, recycled %, plastic symbol) per NM 596.</t>
        </is>
      </c>
      <c r="S9" s="3" t="n">
        <v>1</v>
      </c>
      <c r="T9" s="3" t="n">
        <v>0.75</v>
      </c>
      <c r="U9" s="2" t="inlineStr">
        <is>
          <t>Labelling mandatory; fine 60 min. wages for violating recycled-content rule in food stores.</t>
        </is>
      </c>
      <c r="V9" s="3">
        <f>AVERAGE(P9,T9)</f>
        <v/>
      </c>
      <c r="W9" s="2" t="inlineStr">
        <is>
          <t>Regulatory standard on bag composition and labelling.</t>
        </is>
      </c>
    </row>
    <row r="10">
      <c r="A10" s="2" t="inlineStr">
        <is>
          <t>Regulamento sobre a Gestão e Controlo do Saco de Plástico (Decreto n.º 16/2015)</t>
        </is>
      </c>
      <c r="B10" s="2" t="inlineStr">
        <is>
          <t>https://sibmoz.gov.mz/content/uploads/2022/01/Regulamento-Sobre-a-Gestao-e-Controlo-do-Saco-de-Plastico.pdf</t>
        </is>
      </c>
      <c r="C10" s="2" t="n">
        <v>2015</v>
      </c>
      <c r="D10" s="2" t="inlineStr">
        <is>
          <t>Regulate production, import, marketing and use of plastic bags to reduce health, infrastructure, biodiversity and environmental impacts of non-biodegradable plastic bags.</t>
        </is>
      </c>
      <c r="E10" s="2" t="n">
        <v>0</v>
      </c>
      <c r="F10" s="2" t="inlineStr"/>
      <c r="G10" s="3" t="n">
        <v>0.75</v>
      </c>
      <c r="H10" s="2" t="inlineStr">
        <is>
          <t>Executive decree (Decreto 16/2015) approved by Council of Ministers, 5 August 2015.</t>
        </is>
      </c>
      <c r="I10" s="3" t="n">
        <v>0.5</v>
      </c>
      <c r="J10" s="2" t="inlineStr">
        <is>
          <t>production, retail, industry, municipalities, waste management, packaging</t>
        </is>
      </c>
      <c r="K10" s="3" t="n">
        <v>0.75</v>
      </c>
      <c r="L10" s="2" t="inlineStr">
        <is>
          <t>production, consumption, recycling, disposal</t>
        </is>
      </c>
      <c r="M10" s="3" t="n">
        <v>0.5</v>
      </c>
      <c r="N10" s="2" t="inlineStr">
        <is>
          <t>Art. 8: Fines allocated 40% State Budget, 30% Environment Fund, 30% inspecting entity.</t>
        </is>
      </c>
      <c r="O10" s="3">
        <f>AVERAGE(G10,I10,K10,M10,P10)</f>
        <v/>
      </c>
      <c r="P10" s="3" t="n">
        <v>0.2</v>
      </c>
      <c r="Q10" s="2" t="inlineStr">
        <is>
          <t>Waste management</t>
        </is>
      </c>
      <c r="R10" s="2" t="inlineStr">
        <is>
          <t>Art. 6: Assigns national–municipal coordination for monitoring compliance and promoting alternatives to plastic bags.</t>
        </is>
      </c>
      <c r="S10" s="3" t="n">
        <v>1</v>
      </c>
      <c r="T10" s="3" t="n">
        <v>0.5</v>
      </c>
      <c r="U10" s="2" t="inlineStr">
        <is>
          <t>Municipalities and local state organs must ensure compliance within their jurisdiction.</t>
        </is>
      </c>
      <c r="V10" s="3">
        <f>AVERAGE(P10,T10)</f>
        <v/>
      </c>
      <c r="W10" s="2" t="inlineStr">
        <is>
          <t>Multi-level governance coordination.</t>
        </is>
      </c>
    </row>
    <row r="11">
      <c r="A11" s="2" t="inlineStr">
        <is>
          <t>Regulamento sobre a Responsabilidade Alargada dos Produtores e Importadores de Embalagens (Decreto n.º 79/2017)</t>
        </is>
      </c>
      <c r="B11" s="2" t="inlineStr">
        <is>
          <t>not available</t>
        </is>
      </c>
      <c r="C11" s="2" t="n">
        <v>2017</v>
      </c>
      <c r="D11" s="2" t="inlineStr">
        <is>
          <t>Establish extended producer responsibility for packaging including internal management systems, packaging environmental fee (TAE), and packaging standardisation to reduce pollution and fund waste management.</t>
        </is>
      </c>
      <c r="E11" s="2" t="n">
        <v>0</v>
      </c>
      <c r="F11" s="2" t="inlineStr"/>
      <c r="G11" s="3" t="n">
        <v>0.75</v>
      </c>
      <c r="H11" s="2" t="inlineStr">
        <is>
          <t>Executive decree approved by Council of Ministers, 28 December 2017 (Boletim da República n.º 203).</t>
        </is>
      </c>
      <c r="I11" s="3" t="n">
        <v>0.75</v>
      </c>
      <c r="J11" s="2" t="inlineStr">
        <is>
          <t>packaging, industry, retail, municipalities, waste management, recycling, chemicals</t>
        </is>
      </c>
      <c r="K11" s="3" t="n">
        <v>0.75</v>
      </c>
      <c r="L11" s="2" t="inlineStr">
        <is>
          <t>production, consumption, recycling, disposal</t>
        </is>
      </c>
      <c r="M11" s="3" t="n">
        <v>0.5</v>
      </c>
      <c r="N11" s="2" t="inlineStr">
        <is>
          <t>Creates Taxa Ambiental sobre a Embalagem (TAE) payable by producers/importers; Diploma Ministerial 26/2025 later defines TAE formula.</t>
        </is>
      </c>
      <c r="O11" s="3">
        <f>AVERAGE(G11,I11,K11,M11,P11)</f>
        <v/>
      </c>
      <c r="P11" s="3" t="n">
        <v>1</v>
      </c>
      <c r="Q11" s="2" t="inlineStr">
        <is>
          <t>Production</t>
        </is>
      </c>
      <c r="R11" s="2" t="inlineStr">
        <is>
          <t>Art. 6-8: Assigns physical/financial responsibility to producers and importers for packaging waste management and take-back obligations.</t>
        </is>
      </c>
      <c r="S11" s="3" t="n">
        <v>1</v>
      </c>
      <c r="T11" s="3" t="n">
        <v>0.5</v>
      </c>
      <c r="U11" s="2" t="inlineStr">
        <is>
          <t>Responsibilities assigned to producers, MIC, MEF and municipalities; implementation reported weak without TAE operationalisation.</t>
        </is>
      </c>
      <c r="V11" s="3">
        <f>AVERAGE(P11,T11)</f>
        <v/>
      </c>
      <c r="W11" s="2" t="inlineStr">
        <is>
          <t>Full decree text not on public .gov.mz PDF; coded from CIPMoz legal analysis and World Bank plastic flows study citing Arts. 6-8.</t>
        </is>
      </c>
    </row>
    <row r="12">
      <c r="A12" s="2" t="inlineStr">
        <is>
          <t>Regulamento sobre a Responsabilidade Alargada dos Produtores e Importadores de Embalagens (Decreto n.º 79/2017)</t>
        </is>
      </c>
      <c r="B12" s="2" t="inlineStr">
        <is>
          <t>not available</t>
        </is>
      </c>
      <c r="C12" s="2" t="n">
        <v>2017</v>
      </c>
      <c r="D12" s="2" t="inlineStr">
        <is>
          <t>Establish extended producer responsibility for packaging including internal management systems, packaging environmental fee (TAE), and packaging standardisation to reduce pollution and fund waste management.</t>
        </is>
      </c>
      <c r="E12" s="2" t="n">
        <v>0</v>
      </c>
      <c r="F12" s="2" t="inlineStr"/>
      <c r="G12" s="3" t="n">
        <v>0.75</v>
      </c>
      <c r="H12" s="2" t="inlineStr">
        <is>
          <t>Executive decree approved by Council of Ministers, 28 December 2017 (Boletim da República n.º 203).</t>
        </is>
      </c>
      <c r="I12" s="3" t="n">
        <v>0.75</v>
      </c>
      <c r="J12" s="2" t="inlineStr">
        <is>
          <t>packaging, industry, retail, municipalities, waste management, recycling, chemicals</t>
        </is>
      </c>
      <c r="K12" s="3" t="n">
        <v>0.75</v>
      </c>
      <c r="L12" s="2" t="inlineStr">
        <is>
          <t>production, consumption, recycling, disposal</t>
        </is>
      </c>
      <c r="M12" s="3" t="n">
        <v>0.5</v>
      </c>
      <c r="N12" s="2" t="inlineStr">
        <is>
          <t>Creates Taxa Ambiental sobre a Embalagem (TAE) payable by producers/importers; Diploma Ministerial 26/2025 later defines TAE formula.</t>
        </is>
      </c>
      <c r="O12" s="3">
        <f>AVERAGE(G12,I12,K12,M12,P12)</f>
        <v/>
      </c>
      <c r="P12" s="3" t="n">
        <v>0.6</v>
      </c>
      <c r="Q12" s="2" t="inlineStr">
        <is>
          <t>Recycling</t>
        </is>
      </c>
      <c r="R12" s="2" t="inlineStr">
        <is>
          <t>Art. 13-14: Establishes TAE (packaging environmental fee) with four criteria (returnability, decomposition time/impact, treatment cost, eco-design).</t>
        </is>
      </c>
      <c r="S12" s="3" t="n">
        <v>0</v>
      </c>
      <c r="T12" s="3" t="n">
        <v>0.25</v>
      </c>
      <c r="U12" s="2" t="inlineStr">
        <is>
          <t>TAE requires supplementary ministerial diploma for formula; DM 26/2025 approved March 2025 — enabling power partially exercised.</t>
        </is>
      </c>
      <c r="V12" s="3">
        <f>AVERAGE(P12,T12)</f>
        <v/>
      </c>
      <c r="W12" s="2" t="inlineStr">
        <is>
          <t>Score in_force=0 until TAE fully operational; DM 26/2025 may change status — verify separately.</t>
        </is>
      </c>
    </row>
    <row r="13">
      <c r="A13" s="2" t="inlineStr">
        <is>
          <t>Regulamento sobre a Responsabilidade Alargada dos Produtores e Importadores de Embalagens (Decreto n.º 79/2017)</t>
        </is>
      </c>
      <c r="B13" s="2" t="inlineStr">
        <is>
          <t>not available</t>
        </is>
      </c>
      <c r="C13" s="2" t="n">
        <v>2017</v>
      </c>
      <c r="D13" s="2" t="inlineStr">
        <is>
          <t>Establish extended producer responsibility for packaging including internal management systems, packaging environmental fee (TAE), and packaging standardisation to reduce pollution and fund waste management.</t>
        </is>
      </c>
      <c r="E13" s="2" t="n">
        <v>0</v>
      </c>
      <c r="F13" s="2" t="inlineStr"/>
      <c r="G13" s="3" t="n">
        <v>0.75</v>
      </c>
      <c r="H13" s="2" t="inlineStr">
        <is>
          <t>Executive decree approved by Council of Ministers, 28 December 2017 (Boletim da República n.º 203).</t>
        </is>
      </c>
      <c r="I13" s="3" t="n">
        <v>0.75</v>
      </c>
      <c r="J13" s="2" t="inlineStr">
        <is>
          <t>packaging, industry, retail, municipalities, waste management, recycling, chemicals</t>
        </is>
      </c>
      <c r="K13" s="3" t="n">
        <v>0.75</v>
      </c>
      <c r="L13" s="2" t="inlineStr">
        <is>
          <t>production, consumption, recycling, disposal</t>
        </is>
      </c>
      <c r="M13" s="3" t="n">
        <v>0.5</v>
      </c>
      <c r="N13" s="2" t="inlineStr">
        <is>
          <t>Creates Taxa Ambiental sobre a Embalagem (TAE) payable by producers/importers; Diploma Ministerial 26/2025 later defines TAE formula.</t>
        </is>
      </c>
      <c r="O13" s="3">
        <f>AVERAGE(G13,I13,K13,M13,P13)</f>
        <v/>
      </c>
      <c r="P13" s="3" t="n">
        <v>1</v>
      </c>
      <c r="Q13" s="2" t="inlineStr">
        <is>
          <t>Production</t>
        </is>
      </c>
      <c r="R13" s="2" t="inlineStr">
        <is>
          <t>Art. 17: Producers must preferentially use recyclable materials in packaging production.</t>
        </is>
      </c>
      <c r="S13" s="3" t="n">
        <v>1</v>
      </c>
      <c r="T13" s="3" t="n">
        <v>0.25</v>
      </c>
      <c r="U13" s="2" t="inlineStr">
        <is>
          <t>Mandatory language but limited explicit enforcement provisions in cited articles.</t>
        </is>
      </c>
      <c r="V13" s="3">
        <f>AVERAGE(P13,T13)</f>
        <v/>
      </c>
      <c r="W13" s="2" t="inlineStr"/>
    </row>
    <row r="14">
      <c r="A14" s="2" t="inlineStr">
        <is>
          <t>Regulamento sobre a Gestão de Resíduos Sólidos Urbanos (Decreto n.º 94/2014)</t>
        </is>
      </c>
      <c r="B14" s="2" t="inlineStr">
        <is>
          <t>https://gpa.co.mz/wp-content/uploads/2023/08/REGULAMENTO-DA-LEI-DA-CONCORRENCIA_2014-1.pdf</t>
        </is>
      </c>
      <c r="C14" s="2" t="n">
        <v>2014</v>
      </c>
      <c r="D14" s="2" t="inlineStr">
        <is>
          <t>Establish national rules for urban solid waste management including segregation, collection, treatment, valorisation and landfill disposal, covering plastic fractions in municipal waste streams.</t>
        </is>
      </c>
      <c r="E14" s="2" t="n">
        <v>0</v>
      </c>
      <c r="F14" s="2" t="inlineStr"/>
      <c r="G14" s="3" t="n">
        <v>0.75</v>
      </c>
      <c r="H14" s="2" t="inlineStr">
        <is>
          <t>Executive decree (Decreto 94/2014) approved by Council of Ministers, 31 December 2014.</t>
        </is>
      </c>
      <c r="I14" s="3" t="n">
        <v>0.75</v>
      </c>
      <c r="J14" s="2" t="inlineStr">
        <is>
          <t>waste management, municipalities, industry, retail, recycling, public health, environment</t>
        </is>
      </c>
      <c r="K14" s="3" t="n">
        <v>1</v>
      </c>
      <c r="L14" s="2" t="inlineStr">
        <is>
          <t>production, consumption, recycling, disposal, environmental leakage</t>
        </is>
      </c>
      <c r="M14" s="3" t="n">
        <v>0.5</v>
      </c>
      <c r="N14" s="2" t="inlineStr">
        <is>
          <t>Art. 5(2)(e): Municipalities may fix fees/taxes for collection, transport, treatment and disposal services.</t>
        </is>
      </c>
      <c r="O14" s="3">
        <f>AVERAGE(G14,I14,K14,M14,P14)</f>
        <v/>
      </c>
      <c r="P14" s="3" t="n">
        <v>0.2</v>
      </c>
      <c r="Q14" s="2" t="inlineStr">
        <is>
          <t>Waste management</t>
        </is>
      </c>
      <c r="R14" s="2" t="inlineStr">
        <is>
          <t>Art. 5-6: Assigns national–municipal–district coordination; municipalities must ensure waste not dumped in beaches, sea, water bodies (plastic litter pathway).</t>
        </is>
      </c>
      <c r="S14" s="3" t="n">
        <v>1</v>
      </c>
      <c r="T14" s="3" t="n">
        <v>0.75</v>
      </c>
      <c r="U14" s="2" t="inlineStr">
        <is>
          <t>Penalties for municipal managers; monitoring by environment ministry; municipal obligations explicit.</t>
        </is>
      </c>
      <c r="V14" s="3">
        <f>AVERAGE(P14,T14)</f>
        <v/>
      </c>
      <c r="W14" s="2" t="inlineStr">
        <is>
          <t>Multi-level governance; directly addresses marine plastic leakage via Art. 6(a).</t>
        </is>
      </c>
    </row>
    <row r="15">
      <c r="A15" s="2" t="inlineStr">
        <is>
          <t>Regulamento sobre a Gestão de Resíduos Sólidos Urbanos (Decreto n.º 94/2014)</t>
        </is>
      </c>
      <c r="B15" s="2" t="inlineStr">
        <is>
          <t>https://gpa.co.mz/wp-content/uploads/2023/08/REGULAMENTO-DA-LEI-DA-CONCORRENCIA_2014-1.pdf</t>
        </is>
      </c>
      <c r="C15" s="2" t="n">
        <v>2014</v>
      </c>
      <c r="D15" s="2" t="inlineStr">
        <is>
          <t>Establish national rules for urban solid waste management including segregation, collection, treatment, valorisation and landfill disposal, covering plastic fractions in municipal waste streams.</t>
        </is>
      </c>
      <c r="E15" s="2" t="n">
        <v>0</v>
      </c>
      <c r="F15" s="2" t="inlineStr"/>
      <c r="G15" s="3" t="n">
        <v>0.75</v>
      </c>
      <c r="H15" s="2" t="inlineStr">
        <is>
          <t>Executive decree (Decreto 94/2014) approved by Council of Ministers, 31 December 2014.</t>
        </is>
      </c>
      <c r="I15" s="3" t="n">
        <v>0.75</v>
      </c>
      <c r="J15" s="2" t="inlineStr">
        <is>
          <t>waste management, municipalities, industry, retail, recycling, public health, environment</t>
        </is>
      </c>
      <c r="K15" s="3" t="n">
        <v>1</v>
      </c>
      <c r="L15" s="2" t="inlineStr">
        <is>
          <t>production, consumption, recycling, disposal, environmental leakage</t>
        </is>
      </c>
      <c r="M15" s="3" t="n">
        <v>0.5</v>
      </c>
      <c r="N15" s="2" t="inlineStr">
        <is>
          <t>Art. 5(2)(e): Municipalities may fix fees/taxes for collection, transport, treatment and disposal services.</t>
        </is>
      </c>
      <c r="O15" s="3">
        <f>AVERAGE(G15,I15,K15,M15,P15)</f>
        <v/>
      </c>
      <c r="P15" s="3" t="n">
        <v>0.2</v>
      </c>
      <c r="Q15" s="2" t="inlineStr">
        <is>
          <t>Waste management</t>
        </is>
      </c>
      <c r="R15" s="2" t="inlineStr">
        <is>
          <t>Art. 8: Requires Integrated Urban Solid Waste Management Plans (PGIRSU) for all public/private waste management entities.</t>
        </is>
      </c>
      <c r="S15" s="3" t="n">
        <v>1</v>
      </c>
      <c r="T15" s="3" t="n">
        <v>0.5</v>
      </c>
      <c r="U15" s="2" t="inlineStr">
        <is>
          <t>Planning obligation; licensing linked to plans; ministry oversight.</t>
        </is>
      </c>
      <c r="V15" s="3">
        <f>AVERAGE(P15,T15)</f>
        <v/>
      </c>
      <c r="W15" s="2" t="inlineStr">
        <is>
          <t>Governance/planning instrument.</t>
        </is>
      </c>
    </row>
    <row r="16">
      <c r="A16" s="2" t="inlineStr">
        <is>
          <t>Regulamento sobre a Gestão de Resíduos Sólidos Urbanos (Decreto n.º 94/2014)</t>
        </is>
      </c>
      <c r="B16" s="2" t="inlineStr">
        <is>
          <t>https://gpa.co.mz/wp-content/uploads/2023/08/REGULAMENTO-DA-LEI-DA-CONCORRENCIA_2014-1.pdf</t>
        </is>
      </c>
      <c r="C16" s="2" t="n">
        <v>2014</v>
      </c>
      <c r="D16" s="2" t="inlineStr">
        <is>
          <t>Establish national rules for urban solid waste management including segregation, collection, treatment, valorisation and landfill disposal, covering plastic fractions in municipal waste streams.</t>
        </is>
      </c>
      <c r="E16" s="2" t="n">
        <v>0</v>
      </c>
      <c r="F16" s="2" t="inlineStr"/>
      <c r="G16" s="3" t="n">
        <v>0.75</v>
      </c>
      <c r="H16" s="2" t="inlineStr">
        <is>
          <t>Executive decree (Decreto 94/2014) approved by Council of Ministers, 31 December 2014.</t>
        </is>
      </c>
      <c r="I16" s="3" t="n">
        <v>0.75</v>
      </c>
      <c r="J16" s="2" t="inlineStr">
        <is>
          <t>waste management, municipalities, industry, retail, recycling, public health, environment</t>
        </is>
      </c>
      <c r="K16" s="3" t="n">
        <v>1</v>
      </c>
      <c r="L16" s="2" t="inlineStr">
        <is>
          <t>production, consumption, recycling, disposal, environmental leakage</t>
        </is>
      </c>
      <c r="M16" s="3" t="n">
        <v>0.5</v>
      </c>
      <c r="N16" s="2" t="inlineStr">
        <is>
          <t>Art. 5(2)(e): Municipalities may fix fees/taxes for collection, transport, treatment and disposal services.</t>
        </is>
      </c>
      <c r="O16" s="3">
        <f>AVERAGE(G16,I16,K16,M16,P16)</f>
        <v/>
      </c>
      <c r="P16" s="3" t="n">
        <v>1</v>
      </c>
      <c r="Q16" s="2" t="inlineStr">
        <is>
          <t>Recycling</t>
        </is>
      </c>
      <c r="R16" s="2" t="inlineStr">
        <is>
          <t>Art. 4(d): Waste hierarchy — prevention, reuse, recycling, other recovery, disposal; Art. 7: segregation at source for recycling including plastics.</t>
        </is>
      </c>
      <c r="S16" s="3" t="n">
        <v>1</v>
      </c>
      <c r="T16" s="3" t="n">
        <v>0.5</v>
      </c>
      <c r="U16" s="2" t="inlineStr">
        <is>
          <t>Hierarchy mandatory; selective collection promoted; enforcement via municipal regulations and penalties.</t>
        </is>
      </c>
      <c r="V16" s="3">
        <f>AVERAGE(P16,T16)</f>
        <v/>
      </c>
      <c r="W16" s="2" t="inlineStr"/>
    </row>
    <row r="17">
      <c r="A17" s="2" t="inlineStr">
        <is>
          <t>Regulamento sobre a Gestão de Resíduos Sólidos Urbanos (Decreto n.º 94/2014)</t>
        </is>
      </c>
      <c r="B17" s="2" t="inlineStr">
        <is>
          <t>https://gpa.co.mz/wp-content/uploads/2023/08/REGULAMENTO-DA-LEI-DA-CONCORRENCIA_2014-1.pdf</t>
        </is>
      </c>
      <c r="C17" s="2" t="n">
        <v>2014</v>
      </c>
      <c r="D17" s="2" t="inlineStr">
        <is>
          <t>Establish national rules for urban solid waste management including segregation, collection, treatment, valorisation and landfill disposal, covering plastic fractions in municipal waste streams.</t>
        </is>
      </c>
      <c r="E17" s="2" t="n">
        <v>0</v>
      </c>
      <c r="F17" s="2" t="inlineStr"/>
      <c r="G17" s="3" t="n">
        <v>0.75</v>
      </c>
      <c r="H17" s="2" t="inlineStr">
        <is>
          <t>Executive decree (Decreto 94/2014) approved by Council of Ministers, 31 December 2014.</t>
        </is>
      </c>
      <c r="I17" s="3" t="n">
        <v>0.75</v>
      </c>
      <c r="J17" s="2" t="inlineStr">
        <is>
          <t>waste management, municipalities, industry, retail, recycling, public health, environment</t>
        </is>
      </c>
      <c r="K17" s="3" t="n">
        <v>1</v>
      </c>
      <c r="L17" s="2" t="inlineStr">
        <is>
          <t>production, consumption, recycling, disposal, environmental leakage</t>
        </is>
      </c>
      <c r="M17" s="3" t="n">
        <v>0.5</v>
      </c>
      <c r="N17" s="2" t="inlineStr">
        <is>
          <t>Art. 5(2)(e): Municipalities may fix fees/taxes for collection, transport, treatment and disposal services.</t>
        </is>
      </c>
      <c r="O17" s="3">
        <f>AVERAGE(G17,I17,K17,M17,P17)</f>
        <v/>
      </c>
      <c r="P17" s="3" t="n">
        <v>0.6</v>
      </c>
      <c r="Q17" s="2" t="inlineStr">
        <is>
          <t>Waste management</t>
        </is>
      </c>
      <c r="R17" s="2" t="inlineStr">
        <is>
          <t>Art. 5(2)(e): Municipalities authorised to set fees for waste collection/treatment/disposal services.</t>
        </is>
      </c>
      <c r="S17" s="3" t="n">
        <v>1</v>
      </c>
      <c r="T17" s="3" t="n">
        <v>0.25</v>
      </c>
      <c r="U17" s="2" t="inlineStr">
        <is>
          <t>Fee-setting power delegated to municipalities; not unconditional national levy.</t>
        </is>
      </c>
      <c r="V17" s="3">
        <f>AVERAGE(P17,T17)</f>
        <v/>
      </c>
      <c r="W17" s="2" t="inlineStr">
        <is>
          <t>Economic instrument at municipal level.</t>
        </is>
      </c>
    </row>
    <row r="18">
      <c r="A18" s="2" t="inlineStr">
        <is>
          <t>Regulamento sobre a Gestão de Resíduos Perigosos (Decreto n.º 83/2014)</t>
        </is>
      </c>
      <c r="B18" s="2" t="inlineStr">
        <is>
          <t>https://sibmoz.gov.mz/content/uploads/2022/01/Aprova-o-Regulamento-sobre-Gestao-de-Residuos-perigosos-e-os-respectivos-anexos.pdf</t>
        </is>
      </c>
      <c r="C18" s="2" t="n">
        <v>2014</v>
      </c>
      <c r="D18" s="2" t="inlineStr">
        <is>
          <t>Regulate safe management of hazardous wastes including contaminated plastic packaging from pesticides and chemicals.</t>
        </is>
      </c>
      <c r="E18" s="2" t="n">
        <v>0</v>
      </c>
      <c r="F18" s="2" t="inlineStr"/>
      <c r="G18" s="3" t="n">
        <v>0.75</v>
      </c>
      <c r="H18" s="2" t="inlineStr">
        <is>
          <t>Executive decree approved by Council of Ministers, 31 December 2014.</t>
        </is>
      </c>
      <c r="I18" s="3" t="n">
        <v>0.5</v>
      </c>
      <c r="J18" s="2" t="inlineStr">
        <is>
          <t>industry, agriculture, chemicals, waste management, municipalities, packaging</t>
        </is>
      </c>
      <c r="K18" s="3" t="n">
        <v>0.75</v>
      </c>
      <c r="L18" s="2" t="inlineStr">
        <is>
          <t>production, consumption, recycling, disposal</t>
        </is>
      </c>
      <c r="M18" s="3" t="n">
        <v>0</v>
      </c>
      <c r="N18" s="2" t="inlineStr"/>
      <c r="O18" s="3">
        <f>AVERAGE(G18,I18,K18,M18,P18)</f>
        <v/>
      </c>
      <c r="P18" s="3" t="n">
        <v>1</v>
      </c>
      <c r="Q18" s="2" t="inlineStr">
        <is>
          <t>Disposal</t>
        </is>
      </c>
      <c r="R18" s="2" t="inlineStr">
        <is>
          <t>Prohibits recycling of plastic packaging contaminated by agro-toxins/chemicals except below threshold in Annex IX; bans import of empty contaminated packaging.</t>
        </is>
      </c>
      <c r="S18" s="3" t="n">
        <v>1</v>
      </c>
      <c r="T18" s="3" t="n">
        <v>0.75</v>
      </c>
      <c r="U18" s="2" t="inlineStr">
        <is>
          <t>Explicit prohibitions; licensing for recycling; fines; extended producer responsibility principle in Art. 4(g).</t>
        </is>
      </c>
      <c r="V18" s="3">
        <f>AVERAGE(P18,T18)</f>
        <v/>
      </c>
      <c r="W18" s="2" t="inlineStr">
        <is>
          <t>Directly addresses plastic packaging waste streams.</t>
        </is>
      </c>
    </row>
    <row r="19">
      <c r="A19" s="2" t="inlineStr">
        <is>
          <t>Regulamento sobre a Gestão de Resíduos Perigosos (Decreto n.º 83/2014)</t>
        </is>
      </c>
      <c r="B19" s="2" t="inlineStr">
        <is>
          <t>https://sibmoz.gov.mz/content/uploads/2022/01/Aprova-o-Regulamento-sobre-Gestao-de-Residuos-perigosos-e-os-respectivos-anexos.pdf</t>
        </is>
      </c>
      <c r="C19" s="2" t="n">
        <v>2014</v>
      </c>
      <c r="D19" s="2" t="inlineStr">
        <is>
          <t>Regulate safe management of hazardous wastes including contaminated plastic packaging from pesticides and chemicals.</t>
        </is>
      </c>
      <c r="E19" s="2" t="n">
        <v>0</v>
      </c>
      <c r="F19" s="2" t="inlineStr"/>
      <c r="G19" s="3" t="n">
        <v>0.75</v>
      </c>
      <c r="H19" s="2" t="inlineStr">
        <is>
          <t>Executive decree approved by Council of Ministers, 31 December 2014.</t>
        </is>
      </c>
      <c r="I19" s="3" t="n">
        <v>0.5</v>
      </c>
      <c r="J19" s="2" t="inlineStr">
        <is>
          <t>industry, agriculture, chemicals, waste management, municipalities, packaging</t>
        </is>
      </c>
      <c r="K19" s="3" t="n">
        <v>0.75</v>
      </c>
      <c r="L19" s="2" t="inlineStr">
        <is>
          <t>production, consumption, recycling, disposal</t>
        </is>
      </c>
      <c r="M19" s="3" t="n">
        <v>0</v>
      </c>
      <c r="N19" s="2" t="inlineStr"/>
      <c r="O19" s="3">
        <f>AVERAGE(G19,I19,K19,M19,P19)</f>
        <v/>
      </c>
      <c r="P19" s="3" t="n">
        <v>1</v>
      </c>
      <c r="Q19" s="2" t="inlineStr">
        <is>
          <t>Recycling</t>
        </is>
      </c>
      <c r="R19" s="2" t="inlineStr">
        <is>
          <t>Requires importers/marketers of products whose packaging becomes hazardous waste to operate take-back and collection systems.</t>
        </is>
      </c>
      <c r="S19" s="3" t="n">
        <v>1</v>
      </c>
      <c r="T19" s="3" t="n">
        <v>0.5</v>
      </c>
      <c r="U19" s="2" t="inlineStr">
        <is>
          <t>Take-back obligation on market placers; treatment and disposal responsibility assigned.</t>
        </is>
      </c>
      <c r="V19" s="3">
        <f>AVERAGE(P19,T19)</f>
        <v/>
      </c>
      <c r="W19" s="2" t="inlineStr">
        <is>
          <t>EPR-type provision for hazardous packaging.</t>
        </is>
      </c>
    </row>
    <row r="20">
      <c r="A20" s="2" t="inlineStr">
        <is>
          <t>Programa Nacional de Gestão Sustentável de Resíduos (ValoRe)</t>
        </is>
      </c>
      <c r="B20" s="2" t="inlineStr">
        <is>
          <t>not available</t>
        </is>
      </c>
      <c r="C20" s="2" t="n">
        <v>2025</v>
      </c>
      <c r="D20" s="2" t="inlineStr">
        <is>
          <t>Circular-economy programme to build sustainable waste-treatment infrastructure, strengthen recycling value chains, and pilot municipal waste management.</t>
        </is>
      </c>
      <c r="E20" s="2" t="n">
        <v>0</v>
      </c>
      <c r="F20" s="2" t="inlineStr"/>
      <c r="G20" s="3" t="n">
        <v>0.25</v>
      </c>
      <c r="H20" s="2" t="inlineStr">
        <is>
          <t>Government programme (not legislation); aspirational infrastructure and pilot commitments.</t>
        </is>
      </c>
      <c r="I20" s="3" t="n">
        <v>0.5</v>
      </c>
      <c r="J20" s="2" t="inlineStr">
        <is>
          <t>waste management, municipalities, industry, recycling, environment</t>
        </is>
      </c>
      <c r="K20" s="3" t="n">
        <v>0.75</v>
      </c>
      <c r="L20" s="2" t="inlineStr">
        <is>
          <t>recycling, disposal, consumption</t>
        </is>
      </c>
      <c r="M20" s="3" t="n">
        <v>0.5</v>
      </c>
      <c r="N20" s="2" t="inlineStr">
        <is>
          <t>Programme mobilises ~€18.4 million for sustainable waste management infrastructure (government announcement).</t>
        </is>
      </c>
      <c r="O20" s="3">
        <f>AVERAGE(G20,I20,K20,M20,P20)</f>
        <v/>
      </c>
      <c r="P20" s="3" t="n">
        <v>0.8</v>
      </c>
      <c r="Q20" s="2" t="inlineStr">
        <is>
          <t>Recycling</t>
        </is>
      </c>
      <c r="R20" s="2" t="inlineStr">
        <is>
          <t>Plans construction of sustainable waste-treatment infrastructure and recycling value chains in Nampula, Nacala and Pemba pilot municipalities.</t>
        </is>
      </c>
      <c r="S20" s="3" t="n">
        <v>0</v>
      </c>
      <c r="T20" s="3" t="n">
        <v>0.25</v>
      </c>
      <c r="U20" s="2" t="inlineStr">
        <is>
          <t>Programme commitment; no standalone official PDF; implementation via projects.</t>
        </is>
      </c>
      <c r="V20" s="3">
        <f>AVERAGE(P20,T20)</f>
        <v/>
      </c>
      <c r="W20" s="2" t="inlineStr">
        <is>
          <t>No direct PDF; coded from government programme description. May be in_force=1 when projects operational.</t>
        </is>
      </c>
    </row>
    <row r="21">
      <c r="A21" s="2" t="inlineStr">
        <is>
          <t>Regulamento sobre Padrões de Qualidade Ambiental e de Emissão de Efluentes (Decreto n.º 18/2004, alterado pelo Decreto n.º 67/2010)</t>
        </is>
      </c>
      <c r="B21" s="2" t="inlineStr">
        <is>
          <t>https://sibmoz.gov.mz/content/uploads/2022/01/Regulamento-sobre-Padroes-de-Qualidade-Ambiental-e-de-Emissao-de-Efluentes.pdf</t>
        </is>
      </c>
      <c r="C21" s="2" t="n">
        <v>2010</v>
      </c>
      <c r="D21" s="2" t="inlineStr">
        <is>
          <t>Set national environmental quality and effluent/emission standards limiting pollutant releases from industrial sources including plastic production.</t>
        </is>
      </c>
      <c r="E21" s="2" t="n">
        <v>0</v>
      </c>
      <c r="F21" s="2" t="inlineStr"/>
      <c r="G21" s="3" t="n">
        <v>0.75</v>
      </c>
      <c r="H21" s="2" t="inlineStr">
        <is>
          <t>Executive decree (amended 2010 by Decreto 67/2010).</t>
        </is>
      </c>
      <c r="I21" s="3" t="n">
        <v>0.5</v>
      </c>
      <c r="J21" s="2" t="inlineStr">
        <is>
          <t>industry, environment, energy, transport, chemicals</t>
        </is>
      </c>
      <c r="K21" s="3" t="n">
        <v>0.5</v>
      </c>
      <c r="L21" s="2" t="inlineStr">
        <is>
          <t>production, disposal</t>
        </is>
      </c>
      <c r="M21" s="3" t="n">
        <v>0</v>
      </c>
      <c r="N21" s="2" t="inlineStr"/>
      <c r="O21" s="3">
        <f>AVERAGE(G21,I21,K21,M21,P21)</f>
        <v/>
      </c>
      <c r="P21" s="3" t="n">
        <v>1</v>
      </c>
      <c r="Q21" s="2" t="inlineStr">
        <is>
          <t>Production</t>
        </is>
      </c>
      <c r="R21" s="2" t="inlineStr">
        <is>
          <t>Establishes mandatory emission/effluent limits for air, water and mobile sources applicable to industrial plastic manufacturing facilities.</t>
        </is>
      </c>
      <c r="S21" s="3" t="n">
        <v>1</v>
      </c>
      <c r="T21" s="3" t="n">
        <v>0.75</v>
      </c>
      <c r="U21" s="2" t="inlineStr">
        <is>
          <t>Standards enforceable through environmental licensing; penalties for non-compliance under environmental law.</t>
        </is>
      </c>
      <c r="V21" s="3">
        <f>AVERAGE(P21,T21)</f>
        <v/>
      </c>
      <c r="W21" s="2" t="inlineStr">
        <is>
          <t>Indirect plastic relevance via industrial production controls.</t>
        </is>
      </c>
    </row>
    <row r="22">
      <c r="A22" s="2" t="inlineStr">
        <is>
          <t>Regulamento para Prevenção da Poluição e Proteção do Ambiente Marinho e Costeiro (Decreto n.º 45/2006)</t>
        </is>
      </c>
      <c r="B22" s="2" t="inlineStr">
        <is>
          <t>https://sibmoz.gov.mz/content/uploads/2022/01/1547623391-Regulamento-sobre-a-Prevencao-da-Poluicao-ea-Proteccao-Ambiente-Marinho-e-Costeiro-Decreto-45-barra-2006.pdf</t>
        </is>
      </c>
      <c r="C22" s="2" t="n">
        <v>2006</v>
      </c>
      <c r="D22" s="2" t="inlineStr">
        <is>
          <t>Prevent, control and combat marine pollution from ships and land-based sources including plastic marine litter.</t>
        </is>
      </c>
      <c r="E22" s="2" t="n">
        <v>0</v>
      </c>
      <c r="F22" s="2" t="inlineStr"/>
      <c r="G22" s="3" t="n">
        <v>0.75</v>
      </c>
      <c r="H22" s="2" t="inlineStr">
        <is>
          <t>Executive decree, Council of Ministers, 30 November 2006.</t>
        </is>
      </c>
      <c r="I22" s="3" t="n">
        <v>0.5</v>
      </c>
      <c r="J22" s="2" t="inlineStr">
        <is>
          <t>fisheries, maritime, ports, environment, tourism, municipalities</t>
        </is>
      </c>
      <c r="K22" s="3" t="n">
        <v>0.5</v>
      </c>
      <c r="L22" s="2" t="inlineStr">
        <is>
          <t>disposal, environmental leakage</t>
        </is>
      </c>
      <c r="M22" s="3" t="n">
        <v>0</v>
      </c>
      <c r="N22" s="2" t="inlineStr"/>
      <c r="O22" s="3">
        <f>AVERAGE(G22,I22,K22,M22,P22)</f>
        <v/>
      </c>
      <c r="P22" s="3" t="n">
        <v>1</v>
      </c>
      <c r="Q22" s="2" t="inlineStr">
        <is>
          <t>Environmental leakage</t>
        </is>
      </c>
      <c r="R22" s="2" t="inlineStr">
        <is>
          <t>Requires measures to prevent marine pollution from land-based sources and ships; packaging requirements for hazardous substances discharged to sea.</t>
        </is>
      </c>
      <c r="S22" s="3" t="n">
        <v>1</v>
      </c>
      <c r="T22" s="3" t="n">
        <v>0.5</v>
      </c>
      <c r="U22" s="2" t="inlineStr">
        <is>
          <t>Compensation for pollution required; enforcement via maritime authorities.</t>
        </is>
      </c>
      <c r="V22" s="3">
        <f>AVERAGE(P22,T22)</f>
        <v/>
      </c>
      <c r="W22" s="2" t="inlineStr">
        <is>
          <t>Addresses marine plastic leakage pathway.</t>
        </is>
      </c>
    </row>
    <row r="23">
      <c r="A23" s="2" t="inlineStr">
        <is>
          <t>Regulamento sobre a Actividade de Fiscalização Ambiental (Decreto n.º 51/2024)</t>
        </is>
      </c>
      <c r="B23" s="2" t="inlineStr">
        <is>
          <t>https://sibmoz.gov.mz/content/uploads/2025/11/Regulamento-de-fiscalizac%CC%A7a%CC%83o-ambiental.pdf</t>
        </is>
      </c>
      <c r="C23" s="2" t="n">
        <v>2024</v>
      </c>
      <c r="D23" s="2" t="inlineStr">
        <is>
          <t>Establish rules for environmental inspection and enforcement of environmental legislation including plastic and waste regulations.</t>
        </is>
      </c>
      <c r="E23" s="2" t="n">
        <v>0</v>
      </c>
      <c r="F23" s="2" t="inlineStr"/>
      <c r="G23" s="3" t="n">
        <v>0.75</v>
      </c>
      <c r="H23" s="2" t="inlineStr">
        <is>
          <t>Executive decree approved 17 July 2024; revokes Decreto 11/2006.</t>
        </is>
      </c>
      <c r="I23" s="3" t="n">
        <v>0.75</v>
      </c>
      <c r="J23" s="2" t="inlineStr">
        <is>
          <t>environment, industry, municipalities, waste management, fisheries, mining</t>
        </is>
      </c>
      <c r="K23" s="3" t="n">
        <v>0.75</v>
      </c>
      <c r="L23" s="2" t="inlineStr">
        <is>
          <t>production, consumption, recycling, disposal</t>
        </is>
      </c>
      <c r="M23" s="3" t="n">
        <v>0</v>
      </c>
      <c r="N23" s="2" t="inlineStr"/>
      <c r="O23" s="3">
        <f>AVERAGE(G23,I23,K23,M23,P23)</f>
        <v/>
      </c>
      <c r="P23" s="3" t="n">
        <v>0.2</v>
      </c>
      <c r="Q23" s="2" t="inlineStr">
        <is>
          <t>Waste management</t>
        </is>
      </c>
      <c r="R23" s="2" t="inlineStr">
        <is>
          <t>Defines types of environmental inspection, competencies and procedures for enforcing waste and pollution regulations nationally and subnationally.</t>
        </is>
      </c>
      <c r="S23" s="3" t="n">
        <v>1</v>
      </c>
      <c r="T23" s="3" t="n">
        <v>0.75</v>
      </c>
      <c r="U23" s="2" t="inlineStr">
        <is>
          <t>Inspection powers, penalties reference, monitoring duties for environmental authorities.</t>
        </is>
      </c>
      <c r="V23" s="3">
        <f>AVERAGE(P23,T23)</f>
        <v/>
      </c>
      <c r="W23" s="2" t="inlineStr">
        <is>
          <t>Cross-cutting enforcement framework for plastic-related decrees.</t>
        </is>
      </c>
    </row>
    <row r="24">
      <c r="A24" s="2" t="inlineStr">
        <is>
          <t>Regulamento da Avaliação do Impacto Ambiental (Decreto n.º 54/2015)</t>
        </is>
      </c>
      <c r="B24" s="2" t="inlineStr">
        <is>
          <t>https://sibmoz.gov.mz/content/uploads/2022/01/1547556163-Decreto-54-2015-Regulamento-da-AIA.pdf</t>
        </is>
      </c>
      <c r="C24" s="2" t="n">
        <v>2015</v>
      </c>
      <c r="D24" s="2" t="inlineStr">
        <is>
          <t>Regulate environmental impact assessment and licensing for projects that may cause significant environmental harm including plastic production facilities.</t>
        </is>
      </c>
      <c r="E24" s="2" t="n">
        <v>0</v>
      </c>
      <c r="F24" s="2" t="inlineStr"/>
      <c r="G24" s="3" t="n">
        <v>0.75</v>
      </c>
      <c r="H24" s="2" t="inlineStr">
        <is>
          <t>Executive decree, Council of Ministers, December 2015.</t>
        </is>
      </c>
      <c r="I24" s="3" t="n">
        <v>0.75</v>
      </c>
      <c r="J24" s="2" t="inlineStr">
        <is>
          <t>industry, infrastructure, mining, energy, tourism, environment, municipalities</t>
        </is>
      </c>
      <c r="K24" s="3" t="n">
        <v>0.5</v>
      </c>
      <c r="L24" s="2" t="inlineStr">
        <is>
          <t>production, disposal</t>
        </is>
      </c>
      <c r="M24" s="3" t="n">
        <v>0</v>
      </c>
      <c r="N24" s="2" t="inlineStr"/>
      <c r="O24" s="3">
        <f>AVERAGE(G24,I24,K24,M24,P24)</f>
        <v/>
      </c>
      <c r="P24" s="3" t="n">
        <v>0.2</v>
      </c>
      <c r="Q24" s="2" t="inlineStr">
        <is>
          <t>Production</t>
        </is>
      </c>
      <c r="R24" s="2" t="inlineStr">
        <is>
          <t>Mandatory EIA and environmental licensing for Category A/A+ projects including large industrial installations; mitigation hierarchy required.</t>
        </is>
      </c>
      <c r="S24" s="3" t="n">
        <v>1</v>
      </c>
      <c r="T24" s="3" t="n">
        <v>0.75</v>
      </c>
      <c r="U24" s="2" t="inlineStr">
        <is>
          <t>Licensing authority designated; inspections; biodiversity offsets where required; public participation.</t>
        </is>
      </c>
      <c r="V24" s="3">
        <f>AVERAGE(P24,T24)</f>
        <v/>
      </c>
      <c r="W24" s="2" t="inlineStr">
        <is>
          <t>Applies to new plastic/polymer production projects.</t>
        </is>
      </c>
    </row>
    <row r="25">
      <c r="A25" s="2" t="inlineStr">
        <is>
          <t>Regulamento sobre o Processo de Auditoria Ambiental (Decreto n.º 45/2024)</t>
        </is>
      </c>
      <c r="B25" s="2" t="inlineStr">
        <is>
          <t>https://sibmoz.gov.mz/content/uploads/2025/11/Regulamento-sobre-o-Processo-de-Auditoria-Ambiental.pdf</t>
        </is>
      </c>
      <c r="C25" s="2" t="n">
        <v>2024</v>
      </c>
      <c r="D25" s="2" t="inlineStr">
        <is>
          <t>Establish environmental audit requirements for activities impacting the environment including waste-generating industries.</t>
        </is>
      </c>
      <c r="E25" s="2" t="n">
        <v>0</v>
      </c>
      <c r="F25" s="2" t="inlineStr"/>
      <c r="G25" s="3" t="n">
        <v>0.75</v>
      </c>
      <c r="H25" s="2" t="inlineStr">
        <is>
          <t>Executive decree, Council of Ministers, 26 June 2024.</t>
        </is>
      </c>
      <c r="I25" s="3" t="n">
        <v>0.5</v>
      </c>
      <c r="J25" s="2" t="inlineStr">
        <is>
          <t>industry, environment, municipalities, waste management</t>
        </is>
      </c>
      <c r="K25" s="3" t="n">
        <v>0.5</v>
      </c>
      <c r="L25" s="2" t="inlineStr">
        <is>
          <t>production, disposal</t>
        </is>
      </c>
      <c r="M25" s="3" t="n">
        <v>0</v>
      </c>
      <c r="N25" s="2" t="inlineStr"/>
      <c r="O25" s="3">
        <f>AVERAGE(G25,I25,K25,M25,P25)</f>
        <v/>
      </c>
      <c r="P25" s="3" t="n">
        <v>0.2</v>
      </c>
      <c r="Q25" s="2" t="inlineStr">
        <is>
          <t>Production</t>
        </is>
      </c>
      <c r="R25" s="2" t="inlineStr">
        <is>
          <t>Requires environmental audits and corrective action plans; RAA must be submitted within 15 days of audit.</t>
        </is>
      </c>
      <c r="S25" s="3" t="n">
        <v>1</v>
      </c>
      <c r="T25" s="3" t="n">
        <v>0.75</v>
      </c>
      <c r="U25" s="2" t="inlineStr">
        <is>
          <t>Mandatory reporting; corrective action plan within 30 days for non-conformities; authority oversight.</t>
        </is>
      </c>
      <c r="V25" s="3">
        <f>AVERAGE(P25,T25)</f>
        <v/>
      </c>
      <c r="W25" s="2" t="inlineStr">
        <is>
          <t>Monitoring/compliance instrument.</t>
        </is>
      </c>
    </row>
    <row r="26">
      <c r="A26" s="2" t="inlineStr">
        <is>
          <t>Política e Estratégia do Mar – POLMAR (Resolução n.º 39/2017)</t>
        </is>
      </c>
      <c r="B26" s="2" t="inlineStr">
        <is>
          <t>https://www.proazul.gov.mz/wp-content/uploads/2023/10/POLITICA-E-ESTRATEGIA-DO-MAR-POLMAR-1.pdf</t>
        </is>
      </c>
      <c r="C26" s="2" t="n">
        <v>2017</v>
      </c>
      <c r="D26" s="2" t="inlineStr">
        <is>
          <t>Guide sustainable integrated use of maritime and coastal spaces and blue-economy development including marine pollution control.</t>
        </is>
      </c>
      <c r="E26" s="2" t="n">
        <v>0</v>
      </c>
      <c r="F26" s="2" t="inlineStr"/>
      <c r="G26" s="3" t="n">
        <v>0.25</v>
      </c>
      <c r="H26" s="2" t="inlineStr">
        <is>
          <t>Council of Ministers resolution approving sea policy and strategy (POLMAR), 14 September 2017.</t>
        </is>
      </c>
      <c r="I26" s="3" t="n">
        <v>0.75</v>
      </c>
      <c r="J26" s="2" t="inlineStr">
        <is>
          <t>fisheries, maritime, tourism, ports, environment, municipalities, industry</t>
        </is>
      </c>
      <c r="K26" s="3" t="n">
        <v>0.75</v>
      </c>
      <c r="L26" s="2" t="inlineStr">
        <is>
          <t>production, disposal, environmental leakage</t>
        </is>
      </c>
      <c r="M26" s="3" t="n">
        <v>0</v>
      </c>
      <c r="N26" s="2" t="inlineStr"/>
      <c r="O26" s="3">
        <f>AVERAGE(G26,I26,K26,M26,P26)</f>
        <v/>
      </c>
      <c r="P26" s="3" t="n">
        <v>0.2</v>
      </c>
      <c r="Q26" s="2" t="inlineStr">
        <is>
          <t>Environmental leakage</t>
        </is>
      </c>
      <c r="R26" s="2" t="inlineStr">
        <is>
          <t>POLMAR establishes integrated governance framework for maritime/coastal economic activities balancing development and marine environmental protection.</t>
        </is>
      </c>
      <c r="S26" s="3" t="n">
        <v>1</v>
      </c>
      <c r="T26" s="3" t="n">
        <v>0.25</v>
      </c>
      <c r="U26" s="2" t="inlineStr">
        <is>
          <t>Strategic coordination instrument; implementation through sectoral plans and decrees.</t>
        </is>
      </c>
      <c r="V26" s="3">
        <f>AVERAGE(P26,T26)</f>
        <v/>
      </c>
      <c r="W26" s="2" t="inlineStr"/>
    </row>
    <row r="27">
      <c r="A27" s="2" t="inlineStr">
        <is>
          <t>Lei do Mar (Lei n.º 20/2019)</t>
        </is>
      </c>
      <c r="B27" s="2" t="inlineStr">
        <is>
          <t>https://sibmoz.gov.mz/content/uploads/2022/01/Lei-do-Mar.pdf</t>
        </is>
      </c>
      <c r="C27" s="2" t="n">
        <v>2019</v>
      </c>
      <c r="D27" s="2" t="inlineStr">
        <is>
          <t>Legal regime for sovereignty, jurisdiction, exploitation of marine resources and use of maritime public domain relevant to marine plastic pollution control.</t>
        </is>
      </c>
      <c r="E27" s="2" t="n">
        <v>0</v>
      </c>
      <c r="F27" s="2" t="inlineStr"/>
      <c r="G27" s="3" t="n">
        <v>1</v>
      </c>
      <c r="H27" s="2" t="inlineStr">
        <is>
          <t>Law enacted by Assembly of the Republic, 8 November 2019.</t>
        </is>
      </c>
      <c r="I27" s="3" t="n">
        <v>0.5</v>
      </c>
      <c r="J27" s="2" t="inlineStr">
        <is>
          <t>maritime, fisheries, mining, transport, environment, tourism</t>
        </is>
      </c>
      <c r="K27" s="3" t="n">
        <v>0.5</v>
      </c>
      <c r="L27" s="2" t="inlineStr">
        <is>
          <t>disposal, environmental leakage</t>
        </is>
      </c>
      <c r="M27" s="3" t="n">
        <v>0</v>
      </c>
      <c r="N27" s="2" t="inlineStr"/>
      <c r="O27" s="3">
        <f>AVERAGE(G27,I27,K27,M27,P27)</f>
        <v/>
      </c>
      <c r="P27" s="3" t="n">
        <v>0.2</v>
      </c>
      <c r="Q27" s="2" t="inlineStr">
        <is>
          <t>Environmental leakage</t>
        </is>
      </c>
      <c r="R27" s="2" t="inlineStr">
        <is>
          <t>Establishes legal framework for maritime jurisdiction enabling regulation of activities causing marine pollution including litter.</t>
        </is>
      </c>
      <c r="S27" s="3" t="n">
        <v>1</v>
      </c>
      <c r="T27" s="3" t="n">
        <v>0.5</v>
      </c>
      <c r="U27" s="2" t="inlineStr">
        <is>
          <t>State sovereignty provisions; exercised through Decreto 45/2006 and POEM.</t>
        </is>
      </c>
      <c r="V27" s="3">
        <f>AVERAGE(P27,T27)</f>
        <v/>
      </c>
      <c r="W27" s="2" t="inlineStr">
        <is>
          <t>Framework law enabling marine plastic controls.</t>
        </is>
      </c>
    </row>
    <row r="28">
      <c r="A28" s="2" t="inlineStr">
        <is>
          <t>Regulamento de Gestão e Ordenamento da Zona Costeira e das Praias (Decreto n.º 97/2020)</t>
        </is>
      </c>
      <c r="B28" s="2" t="inlineStr">
        <is>
          <t>https://sibmoz.gov.mz/content/uploads/2022/06/Regulamento-Zonas-costeiras.pdf</t>
        </is>
      </c>
      <c r="C28" s="2" t="n">
        <v>2020</v>
      </c>
      <c r="D28" s="2" t="inlineStr">
        <is>
          <t>Define integrated sustainable management of coastal zones and beaches including controls on activities affecting coastal pollution.</t>
        </is>
      </c>
      <c r="E28" s="2" t="n">
        <v>0</v>
      </c>
      <c r="F28" s="2" t="inlineStr"/>
      <c r="G28" s="3" t="n">
        <v>0.75</v>
      </c>
      <c r="H28" s="2" t="inlineStr">
        <is>
          <t>Executive decree, 4 October 2020.</t>
        </is>
      </c>
      <c r="I28" s="3" t="n">
        <v>0.5</v>
      </c>
      <c r="J28" s="2" t="inlineStr">
        <is>
          <t>municipalities, tourism, fisheries, environment, waste management</t>
        </is>
      </c>
      <c r="K28" s="3" t="n">
        <v>0.5</v>
      </c>
      <c r="L28" s="2" t="inlineStr">
        <is>
          <t>disposal, environmental leakage</t>
        </is>
      </c>
      <c r="M28" s="3" t="n">
        <v>0</v>
      </c>
      <c r="N28" s="2" t="inlineStr"/>
      <c r="O28" s="3">
        <f>AVERAGE(G28,I28,K28,M28,P28)</f>
        <v/>
      </c>
      <c r="P28" s="3" t="n">
        <v>0.2</v>
      </c>
      <c r="Q28" s="2" t="inlineStr">
        <is>
          <t>Environmental leakage</t>
        </is>
      </c>
      <c r="R28" s="2" t="inlineStr">
        <is>
          <t>Coastal zone management and licensing rules to prevent degradation of beaches and coastal ecosystems from waste and development pressures.</t>
        </is>
      </c>
      <c r="S28" s="3" t="n">
        <v>1</v>
      </c>
      <c r="T28" s="3" t="n">
        <v>0.5</v>
      </c>
      <c r="U28" s="2" t="inlineStr">
        <is>
          <t>Municipal and national coordination; licensing requirements.</t>
        </is>
      </c>
      <c r="V28" s="3">
        <f>AVERAGE(P28,T28)</f>
        <v/>
      </c>
      <c r="W28" s="2" t="inlineStr">
        <is>
          <t>Supports prevention of coastal plastic litter.</t>
        </is>
      </c>
    </row>
    <row r="29">
      <c r="A29" s="2" t="inlineStr">
        <is>
          <t>Plano Nacional de Ordenamento do Espaço Marítimo – POEM (Resolução n.º 63/2024)</t>
        </is>
      </c>
      <c r="B29" s="2" t="inlineStr">
        <is>
          <t>https://sibmoz.gov.mz/content/uploads/2025/11/Resolucao-n.o-63_2024-que-aprova-o-Plano-de-Ordenamento-do-Espaco-Maritimo.pdf</t>
        </is>
      </c>
      <c r="C29" s="2" t="n">
        <v>2024</v>
      </c>
      <c r="D29" s="2" t="inlineStr">
        <is>
          <t>Approve national maritime spatial plan coordinating sea uses and minimising environmental impacts including marine pollution.</t>
        </is>
      </c>
      <c r="E29" s="2" t="n">
        <v>0</v>
      </c>
      <c r="F29" s="2" t="inlineStr"/>
      <c r="G29" s="3" t="n">
        <v>0.5</v>
      </c>
      <c r="H29" s="2" t="inlineStr">
        <is>
          <t>Council of Ministers resolution approving national spatial plan (POEM), November 2024.</t>
        </is>
      </c>
      <c r="I29" s="3" t="n">
        <v>0.75</v>
      </c>
      <c r="J29" s="2" t="inlineStr">
        <is>
          <t>maritime, fisheries, energy, transport, environment, tourism, mining</t>
        </is>
      </c>
      <c r="K29" s="3" t="n">
        <v>0.5</v>
      </c>
      <c r="L29" s="2" t="inlineStr">
        <is>
          <t>production, environmental leakage</t>
        </is>
      </c>
      <c r="M29" s="3" t="n">
        <v>0</v>
      </c>
      <c r="N29" s="2" t="inlineStr"/>
      <c r="O29" s="3">
        <f>AVERAGE(G29,I29,K29,M29,P29)</f>
        <v/>
      </c>
      <c r="P29" s="3" t="n">
        <v>0.2</v>
      </c>
      <c r="Q29" s="2" t="inlineStr">
        <is>
          <t>Environmental leakage</t>
        </is>
      </c>
      <c r="R29" s="2" t="inlineStr">
        <is>
          <t>POEM zones maritime space to minimise environmental impacts and coordinate competing uses affecting marine ecosystems.</t>
        </is>
      </c>
      <c r="S29" s="3" t="n">
        <v>1</v>
      </c>
      <c r="T29" s="3" t="n">
        <v>0.5</v>
      </c>
      <c r="U29" s="2" t="inlineStr">
        <is>
          <t>Binding spatial plan; coordination across sectors and levels of government.</t>
        </is>
      </c>
      <c r="V29" s="3">
        <f>AVERAGE(P29,T29)</f>
        <v/>
      </c>
      <c r="W29" s="2" t="inlineStr">
        <is>
          <t>Planning/coordination instrument.</t>
        </is>
      </c>
    </row>
    <row r="30">
      <c r="A30" s="2" t="inlineStr">
        <is>
          <t>Estratégia de Desenvolvimento da Economia Azul – EDEA (Resolução n.º 53/2024)</t>
        </is>
      </c>
      <c r="B30" s="2" t="inlineStr">
        <is>
          <t>https://www.proazul.gov.mz/wp-content/uploads/2024/11/EDEA-ESTRATEGIA-DE-DESENVOLVIMENTO-DA-ECONOMIA-AZUL-_FINAL_TYPO_PRINT_WEB.pdf</t>
        </is>
      </c>
      <c r="C30" s="2" t="n">
        <v>2024</v>
      </c>
      <c r="D30" s="2" t="inlineStr">
        <is>
          <t>National blue-economy strategy (2024–2033) promoting sustainable marine resource use, circular economy, waste valorisation, and reducing plastic production, import and use.</t>
        </is>
      </c>
      <c r="E30" s="2" t="n">
        <v>1</v>
      </c>
      <c r="F30" s="2" t="inlineStr">
        <is>
          <t>Strategic objective (c): 'Reduzir a produção, importação e uso de plásticos, aumentando a responsabilidade alargada dos sectores da indústria e do comércio e os apoios e incentivos à reciclagem e indústria de remanufactura.' Action plan tables include quantitative targets on illegal fishing practices (50% reduction by 2027; 90% by 2040) and waste/recycling indicators.</t>
        </is>
      </c>
      <c r="G30" s="3" t="n">
        <v>0.5</v>
      </c>
      <c r="H30" s="2" t="inlineStr">
        <is>
          <t>Council of Ministers resolution approving national strategy with quantifiable action-plan targets (2024–2033).</t>
        </is>
      </c>
      <c r="I30" s="3" t="n">
        <v>1</v>
      </c>
      <c r="J30" s="2" t="inlineStr">
        <is>
          <t>fisheries, maritime, industry, tourism, environment, municipalities, recycling, waste management, energy</t>
        </is>
      </c>
      <c r="K30" s="3" t="n">
        <v>1</v>
      </c>
      <c r="L30" s="2" t="inlineStr">
        <is>
          <t>production, consumption, recycling, disposal, environmental leakage</t>
        </is>
      </c>
      <c r="M30" s="3" t="n">
        <v>0.5</v>
      </c>
      <c r="N30" s="2" t="inlineStr">
        <is>
          <t>Strategy includes budget lines per strategic action (e.g., 901,355 MT; 3,465,152 MT for fisheries actions); circular-economy/waste actions budgeted in action matrix.</t>
        </is>
      </c>
      <c r="O30" s="3">
        <f>AVERAGE(G30,I30,K30,M30,P30)</f>
        <v/>
      </c>
      <c r="P30" s="3" t="n">
        <v>0.4</v>
      </c>
      <c r="Q30" s="2" t="inlineStr">
        <is>
          <t>Consumption</t>
        </is>
      </c>
      <c r="R30" s="2" t="inlineStr">
        <is>
          <t>Strategic objective: reduce plastic production, import and use; strengthen EPR and recycling/remanufacturing incentives (Pilar 3, circular economy).</t>
        </is>
      </c>
      <c r="S30" s="3" t="n">
        <v>1</v>
      </c>
      <c r="T30" s="3" t="n">
        <v>0.25</v>
      </c>
      <c r="U30" s="2" t="inlineStr">
        <is>
          <t>Strategy commitment with action matrix; implementation depends on sectoral regulations.</t>
        </is>
      </c>
      <c r="V30" s="3">
        <f>AVERAGE(P30,T30)</f>
        <v/>
      </c>
      <c r="W30" s="2" t="inlineStr">
        <is>
          <t>Aspirational with action-plan indicators; plastic reduction objective qualitative at strategic level.</t>
        </is>
      </c>
    </row>
    <row r="31">
      <c r="A31" s="2" t="inlineStr">
        <is>
          <t>Estratégia de Desenvolvimento da Economia Azul – EDEA (Resolução n.º 53/2024)</t>
        </is>
      </c>
      <c r="B31" s="2" t="inlineStr">
        <is>
          <t>https://www.proazul.gov.mz/wp-content/uploads/2024/11/EDEA-ESTRATEGIA-DE-DESENVOLVIMENTO-DA-ECONOMIA-AZUL-_FINAL_TYPO_PRINT_WEB.pdf</t>
        </is>
      </c>
      <c r="C31" s="2" t="n">
        <v>2024</v>
      </c>
      <c r="D31" s="2" t="inlineStr">
        <is>
          <t>National blue-economy strategy (2024–2033) promoting sustainable marine resource use, circular economy, waste valorisation, and reducing plastic production, import and use.</t>
        </is>
      </c>
      <c r="E31" s="2" t="n">
        <v>1</v>
      </c>
      <c r="F31" s="2" t="inlineStr">
        <is>
          <t>Strategic objective (c): 'Reduzir a produção, importação e uso de plásticos, aumentando a responsabilidade alargada dos sectores da indústria e do comércio e os apoios e incentivos à reciclagem e indústria de remanufactura.' Action plan tables include quantitative targets on illegal fishing practices (50% reduction by 2027; 90% by 2040) and waste/recycling indicators.</t>
        </is>
      </c>
      <c r="G31" s="3" t="n">
        <v>0.5</v>
      </c>
      <c r="H31" s="2" t="inlineStr">
        <is>
          <t>Council of Ministers resolution approving national strategy with quantifiable action-plan targets (2024–2033).</t>
        </is>
      </c>
      <c r="I31" s="3" t="n">
        <v>1</v>
      </c>
      <c r="J31" s="2" t="inlineStr">
        <is>
          <t>fisheries, maritime, industry, tourism, environment, municipalities, recycling, waste management, energy</t>
        </is>
      </c>
      <c r="K31" s="3" t="n">
        <v>1</v>
      </c>
      <c r="L31" s="2" t="inlineStr">
        <is>
          <t>production, consumption, recycling, disposal, environmental leakage</t>
        </is>
      </c>
      <c r="M31" s="3" t="n">
        <v>0.5</v>
      </c>
      <c r="N31" s="2" t="inlineStr">
        <is>
          <t>Strategy includes budget lines per strategic action (e.g., 901,355 MT; 3,465,152 MT for fisheries actions); circular-economy/waste actions budgeted in action matrix.</t>
        </is>
      </c>
      <c r="O31" s="3">
        <f>AVERAGE(G31,I31,K31,M31,P31)</f>
        <v/>
      </c>
      <c r="P31" s="3" t="n">
        <v>0.8</v>
      </c>
      <c r="Q31" s="2" t="inlineStr">
        <is>
          <t>Recycling</t>
        </is>
      </c>
      <c r="R31" s="2" t="inlineStr">
        <is>
          <t>Action viii (Pilar 3): Establish circular-economy projects improving waste management with community involvement; invest in waste treatment and valorisation technology.</t>
        </is>
      </c>
      <c r="S31" s="3" t="n">
        <v>0</v>
      </c>
      <c r="T31" s="3" t="n">
        <v>0.25</v>
      </c>
      <c r="U31" s="2" t="inlineStr">
        <is>
          <t>Planned infrastructure investment; not yet binding regulation.</t>
        </is>
      </c>
      <c r="V31" s="3">
        <f>AVERAGE(P31,T31)</f>
        <v/>
      </c>
      <c r="W31" s="2" t="inlineStr">
        <is>
          <t>Infrastructure/planning instrument in strategy.</t>
        </is>
      </c>
    </row>
    <row r="32">
      <c r="A32" s="2" t="inlineStr">
        <is>
          <t>Estratégia de Desenvolvimento da Economia Azul – EDEA (Resolução n.º 53/2024)</t>
        </is>
      </c>
      <c r="B32" s="2" t="inlineStr">
        <is>
          <t>https://www.proazul.gov.mz/wp-content/uploads/2024/11/EDEA-ESTRATEGIA-DE-DESENVOLVIMENTO-DA-ECONOMIA-AZUL-_FINAL_TYPO_PRINT_WEB.pdf</t>
        </is>
      </c>
      <c r="C32" s="2" t="n">
        <v>2024</v>
      </c>
      <c r="D32" s="2" t="inlineStr">
        <is>
          <t>National blue-economy strategy (2024–2033) promoting sustainable marine resource use, circular economy, waste valorisation, and reducing plastic production, import and use.</t>
        </is>
      </c>
      <c r="E32" s="2" t="n">
        <v>1</v>
      </c>
      <c r="F32" s="2" t="inlineStr">
        <is>
          <t>Strategic objective (c): 'Reduzir a produção, importação e uso de plásticos, aumentando a responsabilidade alargada dos sectores da indústria e do comércio e os apoios e incentivos à reciclagem e indústria de remanufactura.' Action plan tables include quantitative targets on illegal fishing practices (50% reduction by 2027; 90% by 2040) and waste/recycling indicators.</t>
        </is>
      </c>
      <c r="G32" s="3" t="n">
        <v>0.5</v>
      </c>
      <c r="H32" s="2" t="inlineStr">
        <is>
          <t>Council of Ministers resolution approving national strategy with quantifiable action-plan targets (2024–2033).</t>
        </is>
      </c>
      <c r="I32" s="3" t="n">
        <v>1</v>
      </c>
      <c r="J32" s="2" t="inlineStr">
        <is>
          <t>fisheries, maritime, industry, tourism, environment, municipalities, recycling, waste management, energy</t>
        </is>
      </c>
      <c r="K32" s="3" t="n">
        <v>1</v>
      </c>
      <c r="L32" s="2" t="inlineStr">
        <is>
          <t>production, consumption, recycling, disposal, environmental leakage</t>
        </is>
      </c>
      <c r="M32" s="3" t="n">
        <v>0.5</v>
      </c>
      <c r="N32" s="2" t="inlineStr">
        <is>
          <t>Strategy includes budget lines per strategic action (e.g., 901,355 MT; 3,465,152 MT for fisheries actions); circular-economy/waste actions budgeted in action matrix.</t>
        </is>
      </c>
      <c r="O32" s="3">
        <f>AVERAGE(G32,I32,K32,M32,P32)</f>
        <v/>
      </c>
      <c r="P32" s="3" t="n">
        <v>0.2</v>
      </c>
      <c r="Q32" s="2" t="inlineStr">
        <is>
          <t>Environmental leakage</t>
        </is>
      </c>
      <c r="R32" s="2" t="inlineStr">
        <is>
          <t>Coastal pillar: prevent plastic pollution through reallocation, remanufacture/recycling and reintroduction into economic circuit; discourage import/production of hard-to-degrade products.</t>
        </is>
      </c>
      <c r="S32" s="3" t="n">
        <v>1</v>
      </c>
      <c r="T32" s="3" t="n">
        <v>0.25</v>
      </c>
      <c r="U32" s="2" t="inlineStr">
        <is>
          <t>Strategic direction; operationalised through existing decrees.</t>
        </is>
      </c>
      <c r="V32" s="3">
        <f>AVERAGE(P32,T32)</f>
        <v/>
      </c>
      <c r="W32" s="2" t="inlineStr">
        <is>
          <t>References 8% plastic fraction in KaNyaka municipal waste study.</t>
        </is>
      </c>
    </row>
    <row r="33">
      <c r="A33" s="2" t="inlineStr">
        <is>
          <t>Estratégia de Gestão Integrada das Zonas Costeiras (2016–2025)</t>
        </is>
      </c>
      <c r="B33" s="2" t="inlineStr">
        <is>
          <t>not available</t>
        </is>
      </c>
      <c r="C33" s="2" t="n">
        <v>2016</v>
      </c>
      <c r="D33" s="2" t="inlineStr">
        <is>
          <t>Integrated coastal zone management addressing erosion, climate vulnerability and sustainable coastal resource use linked to marine pollution pressures.</t>
        </is>
      </c>
      <c r="E33" s="2" t="n">
        <v>0</v>
      </c>
      <c r="F33" s="2" t="inlineStr"/>
      <c r="G33" s="3" t="n">
        <v>0.25</v>
      </c>
      <c r="H33" s="2" t="inlineStr">
        <is>
          <t>National integrated coastal management strategy/action plan 2016–2025 (listed on sibmoz.gov.mz).</t>
        </is>
      </c>
      <c r="I33" s="3" t="n">
        <v>0.5</v>
      </c>
      <c r="J33" s="2" t="inlineStr">
        <is>
          <t>municipalities, fisheries, tourism, environment, waste management</t>
        </is>
      </c>
      <c r="K33" s="3" t="n">
        <v>0.5</v>
      </c>
      <c r="L33" s="2" t="inlineStr">
        <is>
          <t>disposal, environmental leakage</t>
        </is>
      </c>
      <c r="M33" s="3" t="n">
        <v>0</v>
      </c>
      <c r="N33" s="2" t="inlineStr"/>
      <c r="O33" s="3">
        <f>AVERAGE(G33,I33,K33,M33,P33)</f>
        <v/>
      </c>
      <c r="P33" s="3" t="n">
        <v>0.2</v>
      </c>
      <c r="Q33" s="2" t="inlineStr">
        <is>
          <t>Environmental leakage</t>
        </is>
      </c>
      <c r="R33" s="2" t="inlineStr">
        <is>
          <t>EGIZC action plan for integrated coastal management to reduce coastal pollution and erosion pressures affecting plastic litter pathways.</t>
        </is>
      </c>
      <c r="S33" s="3" t="n">
        <v>1</v>
      </c>
      <c r="T33" s="3" t="n">
        <v>0.25</v>
      </c>
      <c r="U33" s="2" t="inlineStr">
        <is>
          <t>Strategic coordination; no standalone PDF available for verification.</t>
        </is>
      </c>
      <c r="V33" s="3">
        <f>AVERAGE(P33,T33)</f>
        <v/>
      </c>
      <c r="W33" s="2" t="inlineStr">
        <is>
          <t>Referenced in EDEA and POEM documents; direct PDF not found.</t>
        </is>
      </c>
    </row>
    <row r="34">
      <c r="A34" s="2" t="inlineStr">
        <is>
          <t>Estratégia Nacional de Gestão e Conservação dos Corais (2022–2032; Resolução n.º 51/2022)</t>
        </is>
      </c>
      <c r="B34" s="2" t="inlineStr">
        <is>
          <t>https://faolex.fao.org/docs/pdf/moz214814.pdf</t>
        </is>
      </c>
      <c r="C34" s="2" t="n">
        <v>2022</v>
      </c>
      <c r="D34" s="2" t="inlineStr">
        <is>
          <t>Protect coral reef ecological integrity by reducing anthropogenic degradation including marine litter and pollution pressures.</t>
        </is>
      </c>
      <c r="E34" s="2" t="n">
        <v>0</v>
      </c>
      <c r="F34" s="2" t="inlineStr"/>
      <c r="G34" s="3" t="n">
        <v>0.25</v>
      </c>
      <c r="H34" s="2" t="inlineStr">
        <is>
          <t>Council of Ministers resolution approving coral reef strategy 2022–2032, 28 December 2022.</t>
        </is>
      </c>
      <c r="I34" s="3" t="n">
        <v>0.5</v>
      </c>
      <c r="J34" s="2" t="inlineStr">
        <is>
          <t>fisheries, environment, tourism, maritime, waste management</t>
        </is>
      </c>
      <c r="K34" s="3" t="n">
        <v>0.5</v>
      </c>
      <c r="L34" s="2" t="inlineStr">
        <is>
          <t>environmental leakage, disposal</t>
        </is>
      </c>
      <c r="M34" s="3" t="n">
        <v>0</v>
      </c>
      <c r="N34" s="2" t="inlineStr"/>
      <c r="O34" s="3">
        <f>AVERAGE(G34,I34,K34,M34,P34)</f>
        <v/>
      </c>
      <c r="P34" s="3" t="n">
        <v>0.4</v>
      </c>
      <c r="Q34" s="2" t="inlineStr">
        <is>
          <t>Environmental leakage</t>
        </is>
      </c>
      <c r="R34" s="2" t="inlineStr">
        <is>
          <t>Strategy actions on reducing anthropogenic reef degradation including marine litter, unsustainable fishing and tourism practices.</t>
        </is>
      </c>
      <c r="S34" s="3" t="n">
        <v>1</v>
      </c>
      <c r="T34" s="3" t="n">
        <v>0.5</v>
      </c>
      <c r="U34" s="2" t="inlineStr">
        <is>
          <t>Action plan with monitoring indicators; fisheries enforcement components.</t>
        </is>
      </c>
      <c r="V34" s="3">
        <f>AVERAGE(P34,T34)</f>
        <v/>
      </c>
      <c r="W34" s="2" t="inlineStr">
        <is>
          <t>Approved Resolução 51/2022; full strategy in Boletim annex.</t>
        </is>
      </c>
    </row>
    <row r="35">
      <c r="A35" s="2" t="inlineStr">
        <is>
          <t>Política de Saúde e Estratégia de Implementação (Resolução n.º 13/2021)</t>
        </is>
      </c>
      <c r="B35" s="2" t="inlineStr">
        <is>
          <t>https://sisma.misau.gov.mz/docs/Politica%20Nacional%20de%20Saude.pdf</t>
        </is>
      </c>
      <c r="C35" s="2" t="n">
        <v>2021</v>
      </c>
      <c r="D35" s="2" t="inlineStr">
        <is>
          <t>National health policy including expansion of basic sanitation and management of solid waste pressures from urbanisation affecting public health.</t>
        </is>
      </c>
      <c r="E35" s="2" t="n">
        <v>0</v>
      </c>
      <c r="F35" s="2" t="inlineStr"/>
      <c r="G35" s="3" t="n">
        <v>0.25</v>
      </c>
      <c r="H35" s="2" t="inlineStr">
        <is>
          <t>Council of Ministers resolution approving national health policy, 2021.</t>
        </is>
      </c>
      <c r="I35" s="3" t="n">
        <v>0.5</v>
      </c>
      <c r="J35" s="2" t="inlineStr">
        <is>
          <t>health, municipalities, environment, waste management</t>
        </is>
      </c>
      <c r="K35" s="3" t="n">
        <v>0.5</v>
      </c>
      <c r="L35" s="2" t="inlineStr">
        <is>
          <t>disposal, consumption</t>
        </is>
      </c>
      <c r="M35" s="3" t="n">
        <v>0.5</v>
      </c>
      <c r="N35" s="2" t="inlineStr">
        <is>
          <t>Health sector budget allocations for sanitation and waste-related programmes referenced in implementation strategy.</t>
        </is>
      </c>
      <c r="O35" s="3">
        <f>AVERAGE(G35,I35,K35,M35,P35)</f>
        <v/>
      </c>
      <c r="P35" s="3" t="n">
        <v>0.2</v>
      </c>
      <c r="Q35" s="2" t="inlineStr">
        <is>
          <t>Waste management</t>
        </is>
      </c>
      <c r="R35" s="2" t="inlineStr">
        <is>
          <t>Health policy commitments to expand basic sanitation and address solid waste management pressures in rapidly urbanising areas.</t>
        </is>
      </c>
      <c r="S35" s="3" t="n">
        <v>1</v>
      </c>
      <c r="T35" s="3" t="n">
        <v>0.25</v>
      </c>
      <c r="U35" s="2" t="inlineStr">
        <is>
          <t>Sectoral policy; implementation via MISAU and municipal health programmes.</t>
        </is>
      </c>
      <c r="V35" s="3">
        <f>AVERAGE(P35,T35)</f>
        <v/>
      </c>
      <c r="W35" s="2" t="inlineStr">
        <is>
          <t>Indirect plastic relevance via municipal solid waste/sanitation.</t>
        </is>
      </c>
    </row>
    <row r="36">
      <c r="A36" s="2" t="inlineStr">
        <is>
          <t>Plano Nacional de Desenvolvimento Territorial (Resolução n.º 7/2021)</t>
        </is>
      </c>
      <c r="B36" s="2" t="inlineStr">
        <is>
          <t>https://sibmoz.gov.mz/content/uploads/2022/06/Plano-Nacional-de-Desenvolvimento-Territorial-1.pdf</t>
        </is>
      </c>
      <c r="C36" s="2" t="n">
        <v>2021</v>
      </c>
      <c r="D36" s="2" t="inlineStr">
        <is>
          <t>Guide sustainable territorial development and urban growth with environmental balance at national and subnational levels affecting waste infrastructure planning.</t>
        </is>
      </c>
      <c r="E36" s="2" t="n">
        <v>0</v>
      </c>
      <c r="F36" s="2" t="inlineStr"/>
      <c r="G36" s="3" t="n">
        <v>0.5</v>
      </c>
      <c r="H36" s="2" t="inlineStr">
        <is>
          <t>Council of Ministers resolution approving national territorial development plan and action plan, 28 December 2021.</t>
        </is>
      </c>
      <c r="I36" s="3" t="n">
        <v>0.75</v>
      </c>
      <c r="J36" s="2" t="inlineStr">
        <is>
          <t>urban planning, municipalities, environment, infrastructure, industry, tourism, agriculture</t>
        </is>
      </c>
      <c r="K36" s="3" t="n">
        <v>0.75</v>
      </c>
      <c r="L36" s="2" t="inlineStr">
        <is>
          <t>production, consumption, disposal, environmental leakage</t>
        </is>
      </c>
      <c r="M36" s="3" t="n">
        <v>0</v>
      </c>
      <c r="N36" s="2" t="inlineStr"/>
      <c r="O36" s="3">
        <f>AVERAGE(G36,I36,K36,M36,P36)</f>
        <v/>
      </c>
      <c r="P36" s="3" t="n">
        <v>0.2</v>
      </c>
      <c r="Q36" s="2" t="inlineStr">
        <is>
          <t>Waste management</t>
        </is>
      </c>
      <c r="R36" s="2" t="inlineStr">
        <is>
          <t>PNDT coordinates territorial planning instruments at national, provincial, district and municipal levels including environmental balance and urban waste infrastructure.</t>
        </is>
      </c>
      <c r="S36" s="3" t="n">
        <v>1</v>
      </c>
      <c r="T36" s="3" t="n">
        <v>0.5</v>
      </c>
      <c r="U36" s="2" t="inlineStr">
        <is>
          <t>Binding national plan; multi-level planning obligations.</t>
        </is>
      </c>
      <c r="V36" s="3">
        <f>AVERAGE(P36,T36)</f>
        <v/>
      </c>
      <c r="W36" s="2" t="inlineStr">
        <is>
          <t>Spatial planning affects placement of waste/recycling infrastructure.</t>
        </is>
      </c>
    </row>
    <row r="37">
      <c r="A37" s="2" t="inlineStr">
        <is>
          <t>Lei do Ordenamento do Território (Lei n.º 19/2007)</t>
        </is>
      </c>
      <c r="B37" s="2" t="inlineStr">
        <is>
          <t>https://sibmoz.gov.mz/content/uploads/2022/01/Lei-do-ordenamento-territorial.pdf</t>
        </is>
      </c>
      <c r="C37" s="2" t="n">
        <v>2007</v>
      </c>
      <c r="D37" s="2" t="inlineStr">
        <is>
          <t>Territorial planning law promoting sustainable natural resource use and environmental balance in national development including waste facility siting.</t>
        </is>
      </c>
      <c r="E37" s="2" t="n">
        <v>0</v>
      </c>
      <c r="F37" s="2" t="inlineStr"/>
      <c r="G37" s="3" t="n">
        <v>1</v>
      </c>
      <c r="H37" s="2" t="inlineStr">
        <is>
          <t>Law enacted by Assembly of the Republic, 18 July 2007.</t>
        </is>
      </c>
      <c r="I37" s="3" t="n">
        <v>0.75</v>
      </c>
      <c r="J37" s="2" t="inlineStr">
        <is>
          <t>urban planning, municipalities, environment, infrastructure, industry, agriculture, tourism</t>
        </is>
      </c>
      <c r="K37" s="3" t="n">
        <v>0.5</v>
      </c>
      <c r="L37" s="2" t="inlineStr">
        <is>
          <t>production, disposal</t>
        </is>
      </c>
      <c r="M37" s="3" t="n">
        <v>0</v>
      </c>
      <c r="N37" s="2" t="inlineStr"/>
      <c r="O37" s="3">
        <f>AVERAGE(G37,I37,K37,M37,P37)</f>
        <v/>
      </c>
      <c r="P37" s="3" t="n">
        <v>0.2</v>
      </c>
      <c r="Q37" s="2" t="inlineStr">
        <is>
          <t>Waste management</t>
        </is>
      </c>
      <c r="R37" s="2" t="inlineStr">
        <is>
          <t>Establishes territorial planning framework requiring environmental balance in land-use decisions affecting waste management zones.</t>
        </is>
      </c>
      <c r="S37" s="3" t="n">
        <v>1</v>
      </c>
      <c r="T37" s="3" t="n">
        <v>0.5</v>
      </c>
      <c r="U37" s="2" t="inlineStr">
        <is>
          <t>Planning instruments at all government levels; exercised via Decreto 23/2008.</t>
        </is>
      </c>
      <c r="V37" s="3">
        <f>AVERAGE(P37,T37)</f>
        <v/>
      </c>
      <c r="W37" s="2" t="inlineStr"/>
    </row>
    <row r="38">
      <c r="A38" s="2" t="inlineStr">
        <is>
          <t>Regulamento da Lei de Ordenamento do Território (Decreto n.º 23/2008)</t>
        </is>
      </c>
      <c r="B38" s="2" t="inlineStr">
        <is>
          <t>https://sibmoz.gov.mz/content/uploads/2025/11/Decreto-n.o-23_2008_Regulamento-da-Lei-de-Ordenamento-do-Territorio.pdf</t>
        </is>
      </c>
      <c r="C38" s="2" t="n">
        <v>2008</v>
      </c>
      <c r="D38" s="2" t="inlineStr">
        <is>
          <t>Regulate territorial occupation and sustainable land use through national, provincial, district and municipal planning instruments coordinating environmental development.</t>
        </is>
      </c>
      <c r="E38" s="2" t="n">
        <v>0</v>
      </c>
      <c r="F38" s="2" t="inlineStr"/>
      <c r="G38" s="3" t="n">
        <v>0.75</v>
      </c>
      <c r="H38" s="2" t="inlineStr">
        <is>
          <t>Executive decree regulating Territorial Planning Law, 2008.</t>
        </is>
      </c>
      <c r="I38" s="3" t="n">
        <v>0.75</v>
      </c>
      <c r="J38" s="2" t="inlineStr">
        <is>
          <t>municipalities, urban planning, environment, industry, infrastructure, waste management</t>
        </is>
      </c>
      <c r="K38" s="3" t="n">
        <v>0.5</v>
      </c>
      <c r="L38" s="2" t="inlineStr">
        <is>
          <t>production, disposal</t>
        </is>
      </c>
      <c r="M38" s="3" t="n">
        <v>0</v>
      </c>
      <c r="N38" s="2" t="inlineStr"/>
      <c r="O38" s="3">
        <f>AVERAGE(G38,I38,K38,M38,P38)</f>
        <v/>
      </c>
      <c r="P38" s="3" t="n">
        <v>0.2</v>
      </c>
      <c r="Q38" s="2" t="inlineStr">
        <is>
          <t>Waste management</t>
        </is>
      </c>
      <c r="R38" s="2" t="inlineStr">
        <is>
          <t>Defines planning instruments (POT, PDU, etc.) at national to municipal levels integrating economic, social and environmental development including waste infrastructure.</t>
        </is>
      </c>
      <c r="S38" s="3" t="n">
        <v>1</v>
      </c>
      <c r="T38" s="3" t="n">
        <v>0.5</v>
      </c>
      <c r="U38" s="2" t="inlineStr">
        <is>
          <t>Mandatory planning procedures; municipal competencies for land-use regulation.</t>
        </is>
      </c>
      <c r="V38" s="3">
        <f>AVERAGE(P38,T38)</f>
        <v/>
      </c>
      <c r="W38" s="2" t="inlineStr">
        <is>
          <t>Subnational planning coordination instrument.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Mozambique</t>
        </is>
      </c>
    </row>
    <row r="3">
      <c r="A3" t="inlineStr">
        <is>
          <t>Index</t>
        </is>
      </c>
      <c r="B3" t="inlineStr">
        <is>
          <t>4P Index v2</t>
        </is>
      </c>
    </row>
    <row r="4">
      <c r="A4" t="inlineStr">
        <is>
          <t>Coding date</t>
        </is>
      </c>
      <c r="B4" t="inlineStr">
        <is>
          <t>June 2026</t>
        </is>
      </c>
    </row>
    <row r="5">
      <c r="A5" t="inlineStr">
        <is>
          <t>Total policies</t>
        </is>
      </c>
      <c r="B5" t="n">
        <v>23</v>
      </c>
    </row>
    <row r="6">
      <c r="A6" t="inlineStr">
        <is>
          <t>Total instrument rows</t>
        </is>
      </c>
      <c r="B6" t="n">
        <v>37</v>
      </c>
    </row>
    <row r="7">
      <c r="A7" t="inlineStr">
        <is>
          <t>Note</t>
        </is>
      </c>
      <c r="B7" t="inlineStr">
        <is>
          <t>Columns O and V use Excel formulas. policy_score = AVERAGE(G,I,K,M,P); instrument_score = AVERAGE(P,T).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2026-06-18T09:58:49Z</dcterms:created>
  <dcterms:modified xmlns:dcterms="http://purl.org/dc/terms/" xmlns:xsi="http://www.w3.org/2001/XMLSchema-instance" xsi:type="dcterms:W3CDTF">2026-06-18T09:58:49Z</dcterms:modified>
</cp:coreProperties>
</file>