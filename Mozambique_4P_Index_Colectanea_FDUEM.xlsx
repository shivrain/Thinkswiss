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 xmlns:r="http://schemas.openxmlformats.org/officeDocument/2006/relationships" name="Metadata" sheetId="2" state="visible" r:id="rId2"/>
    <sheet xmlns:r="http://schemas.openxmlformats.org/officeDocument/2006/relationships" name="Compilation cont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selection activeCell="A1" sqref="A1"/>
    </sheetView>
  </sheetViews>
  <sheetFormatPr baseColWidth="8" defaultRowHeight="15"/>
  <cols>
    <col width="48" customWidth="1" min="1" max="1"/>
    <col width="18" customWidth="1" min="2" max="2"/>
    <col width="8" customWidth="1" min="3" max="3"/>
    <col width="42" customWidth="1" min="4" max="4"/>
    <col width="8" customWidth="1" min="5" max="5"/>
    <col width="12" customWidth="1" min="6" max="6"/>
    <col width="8" customWidth="1" min="7" max="7"/>
    <col width="32" customWidth="1" min="8" max="8"/>
    <col width="8" customWidth="1" min="9" max="9"/>
    <col width="32" customWidth="1" min="10" max="10"/>
    <col width="8" customWidth="1" min="11" max="11"/>
    <col width="28" customWidth="1" min="12" max="12"/>
    <col width="8" customWidth="1" min="13" max="13"/>
    <col width="35" customWidth="1" min="14" max="14"/>
    <col width="10" customWidth="1" min="15" max="15"/>
    <col width="8" customWidth="1" min="16" max="16"/>
    <col width="18" customWidth="1" min="17" max="17"/>
    <col width="48" customWidth="1" min="18" max="18"/>
    <col width="8" customWidth="1" min="19" max="19"/>
    <col width="8" customWidth="1" min="20" max="20"/>
    <col width="38" customWidth="1" min="21" max="21"/>
    <col width="10" customWidth="1" min="22" max="22"/>
    <col width="38" customWidth="1" min="23" max="23"/>
  </cols>
  <sheetData>
    <row r="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Lei do Ambiente (Lei n.º 20/97, de 1 de Outubro)</t>
        </is>
      </c>
      <c r="B2" s="2" t="inlineStr">
        <is>
          <t>not available</t>
        </is>
      </c>
      <c r="C2" s="2" t="n">
        <v>1997</v>
      </c>
      <c r="D2"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2" s="2" t="n">
        <v>0</v>
      </c>
      <c r="F2" s="2" t="inlineStr"/>
      <c r="G2" s="3" t="n">
        <v>1</v>
      </c>
      <c r="H2" s="2" t="inlineStr">
        <is>
          <t>Legislation enacted by the Assembleia da República (Law No. 20/97), approved 31 July 1997 and promulgated 1 October 1997. Not an executive decree or strategy.</t>
        </is>
      </c>
      <c r="I2" s="3" t="n">
        <v>1</v>
      </c>
      <c r="J2" s="2" t="inlineStr">
        <is>
          <t>production, consumption, waste management, recycling, agriculture, industry, tourism, municipalities, fisheries, water, retail, transport</t>
        </is>
      </c>
      <c r="K2" s="3" t="n">
        <v>1</v>
      </c>
      <c r="L2" s="2" t="inlineStr">
        <is>
          <t>production, consumption, recycling, disposal, environmental leakage</t>
        </is>
      </c>
      <c r="M2" s="3" t="n">
        <v>0</v>
      </c>
      <c r="N2" s="2" t="inlineStr"/>
      <c r="O2" s="3">
        <f>AVERAGE(G2,I2,K2,M2,P2)</f>
        <v/>
      </c>
      <c r="P2" s="3" t="n">
        <v>0.2</v>
      </c>
      <c r="Q2" s="2" t="inlineStr">
        <is>
          <t>Waste management</t>
        </is>
      </c>
      <c r="R2" s="2" t="inlineStr">
        <is>
          <t>Art. 5: The Government shall elaborate and execute the National Environmental Management Programme (PNGA), the overarching planning instrument for environmental governance including waste and pollution control.</t>
        </is>
      </c>
      <c r="S2" s="3" t="n">
        <v>1</v>
      </c>
      <c r="T2" s="3" t="n">
        <v>0.25</v>
      </c>
      <c r="U2" s="2" t="inlineStr">
        <is>
          <t>'Cabe ao Governo elaborar e executar o Programa Nacional de Gestão Ambiental.' Responsible authority explicitly designated (Government).</t>
        </is>
      </c>
      <c r="V2" s="3">
        <f>AVERAGE(P2,T2)</f>
        <v/>
      </c>
      <c r="W2" s="2" t="inlineStr">
        <is>
          <t>Governance/coordination instrument. Applies to plastic-relevant environmental management via general waste/pollution framework (filter criterion c). Source: Colectânea de Legislação do Ambiente (FDUEM, Maputo 2020), user-uploaded PDF; policy URL not available.</t>
        </is>
      </c>
    </row>
    <row r="3">
      <c r="A3" s="2" t="inlineStr">
        <is>
          <t>Lei do Ambiente (Lei n.º 20/97, de 1 de Outubro)</t>
        </is>
      </c>
      <c r="B3" s="2" t="inlineStr">
        <is>
          <t>not available</t>
        </is>
      </c>
      <c r="C3" s="2" t="n">
        <v>1997</v>
      </c>
      <c r="D3"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3" s="2" t="n">
        <v>0</v>
      </c>
      <c r="F3" s="2" t="inlineStr"/>
      <c r="G3" s="3" t="n">
        <v>1</v>
      </c>
      <c r="H3" s="2" t="inlineStr">
        <is>
          <t>Legislation enacted by the Assembleia da República (Law No. 20/97), approved 31 July 1997 and promulgated 1 October 1997. Not an executive decree or strategy.</t>
        </is>
      </c>
      <c r="I3" s="3" t="n">
        <v>1</v>
      </c>
      <c r="J3" s="2" t="inlineStr">
        <is>
          <t>production, consumption, waste management, recycling, agriculture, industry, tourism, municipalities, fisheries, water, retail, transport</t>
        </is>
      </c>
      <c r="K3" s="3" t="n">
        <v>1</v>
      </c>
      <c r="L3" s="2" t="inlineStr">
        <is>
          <t>production, consumption, recycling, disposal, environmental leakage</t>
        </is>
      </c>
      <c r="M3" s="3" t="n">
        <v>0</v>
      </c>
      <c r="N3" s="2" t="inlineStr"/>
      <c r="O3" s="3">
        <f>AVERAGE(G3,I3,K3,M3,P3)</f>
        <v/>
      </c>
      <c r="P3" s="3" t="n">
        <v>0.2</v>
      </c>
      <c r="Q3" s="2" t="inlineStr">
        <is>
          <t>Waste management</t>
        </is>
      </c>
      <c r="R3" s="2" t="inlineStr">
        <is>
          <t>Art. 6: Creates the National Council for Sustainable Development (CONDES) as a consultative body of the Council of Ministers to coordinate environmental management and integrate sustainability principles in national development.</t>
        </is>
      </c>
      <c r="S3" s="3" t="n">
        <v>1</v>
      </c>
      <c r="T3" s="3" t="n">
        <v>0.25</v>
      </c>
      <c r="U3" s="2" t="inlineStr">
        <is>
          <t>'é criado o Conselho Nacional de Desenvolvimento Sustentável.' Institutional coordinating body explicitly established.</t>
        </is>
      </c>
      <c r="V3" s="3">
        <f>AVERAGE(P3,T3)</f>
        <v/>
      </c>
      <c r="W3" s="2" t="inlineStr">
        <is>
          <t>Multi-level governance coordination instrument (Rule 11). Composition and functioning regulated by Council of Ministers decree. Source: Colectânea de Legislação do Ambiente (FDUEM, Maputo 2020), user-uploaded PDF; policy URL not available.</t>
        </is>
      </c>
    </row>
    <row r="4">
      <c r="A4" s="2" t="inlineStr">
        <is>
          <t>Lei do Ambiente (Lei n.º 20/97, de 1 de Outubro)</t>
        </is>
      </c>
      <c r="B4" s="2" t="inlineStr">
        <is>
          <t>not available</t>
        </is>
      </c>
      <c r="C4" s="2" t="n">
        <v>1997</v>
      </c>
      <c r="D4"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4" s="2" t="n">
        <v>0</v>
      </c>
      <c r="F4" s="2" t="inlineStr"/>
      <c r="G4" s="3" t="n">
        <v>1</v>
      </c>
      <c r="H4" s="2" t="inlineStr">
        <is>
          <t>Legislation enacted by the Assembleia da República (Law No. 20/97), approved 31 July 1997 and promulgated 1 October 1997. Not an executive decree or strategy.</t>
        </is>
      </c>
      <c r="I4" s="3" t="n">
        <v>1</v>
      </c>
      <c r="J4" s="2" t="inlineStr">
        <is>
          <t>production, consumption, waste management, recycling, agriculture, industry, tourism, municipalities, fisheries, water, retail, transport</t>
        </is>
      </c>
      <c r="K4" s="3" t="n">
        <v>1</v>
      </c>
      <c r="L4" s="2" t="inlineStr">
        <is>
          <t>production, consumption, recycling, disposal, environmental leakage</t>
        </is>
      </c>
      <c r="M4" s="3" t="n">
        <v>0</v>
      </c>
      <c r="N4" s="2" t="inlineStr"/>
      <c r="O4" s="3">
        <f>AVERAGE(G4,I4,K4,M4,P4)</f>
        <v/>
      </c>
      <c r="P4" s="3" t="n">
        <v>0.2</v>
      </c>
      <c r="Q4" s="2" t="inlineStr">
        <is>
          <t>Waste management</t>
        </is>
      </c>
      <c r="R4" s="2" t="inlineStr">
        <is>
          <t>Art. 7: Local-level environmental services are created to implement the Law, guaranteeing coordination of environmental action and decentralisation — including municipal waste management responsibilities.</t>
        </is>
      </c>
      <c r="S4" s="3" t="n">
        <v>1</v>
      </c>
      <c r="T4" s="3" t="n">
        <v>0.25</v>
      </c>
      <c r="U4" s="2" t="inlineStr">
        <is>
          <t>'De nível local são criados serviços responsáveis pela implementação da presente Lei, os quais garantem coordenação da acção ambiental a esse nível e a descentralização na sua execução.'</t>
        </is>
      </c>
      <c r="V4" s="3">
        <f>AVERAGE(P4,T4)</f>
        <v/>
      </c>
      <c r="W4" s="2" t="inlineStr">
        <is>
          <t>National–local coordination framework commonly applied to municipal solid waste including plastic waste streams. Source: Colectânea de Legislação do Ambiente (FDUEM, Maputo 2020), user-uploaded PDF; policy URL not available.</t>
        </is>
      </c>
    </row>
    <row r="5">
      <c r="A5" s="2" t="inlineStr">
        <is>
          <t>Lei do Ambiente (Lei n.º 20/97, de 1 de Outubro)</t>
        </is>
      </c>
      <c r="B5" s="2" t="inlineStr">
        <is>
          <t>not available</t>
        </is>
      </c>
      <c r="C5" s="2" t="n">
        <v>1997</v>
      </c>
      <c r="D5"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5" s="2" t="n">
        <v>0</v>
      </c>
      <c r="F5" s="2" t="inlineStr"/>
      <c r="G5" s="3" t="n">
        <v>1</v>
      </c>
      <c r="H5" s="2" t="inlineStr">
        <is>
          <t>Legislation enacted by the Assembleia da República (Law No. 20/97), approved 31 July 1997 and promulgated 1 October 1997. Not an executive decree or strategy.</t>
        </is>
      </c>
      <c r="I5" s="3" t="n">
        <v>1</v>
      </c>
      <c r="J5" s="2" t="inlineStr">
        <is>
          <t>production, consumption, waste management, recycling, agriculture, industry, tourism, municipalities, fisheries, water, retail, transport</t>
        </is>
      </c>
      <c r="K5" s="3" t="n">
        <v>1</v>
      </c>
      <c r="L5" s="2" t="inlineStr">
        <is>
          <t>production, consumption, recycling, disposal, environmental leakage</t>
        </is>
      </c>
      <c r="M5" s="3" t="n">
        <v>0</v>
      </c>
      <c r="N5" s="2" t="inlineStr"/>
      <c r="O5" s="3">
        <f>AVERAGE(G5,I5,K5,M5,P5)</f>
        <v/>
      </c>
      <c r="P5" s="3" t="n">
        <v>0.4</v>
      </c>
      <c r="Q5" s="2" t="inlineStr">
        <is>
          <t>Consumption</t>
        </is>
      </c>
      <c r="R5" s="2" t="inlineStr">
        <is>
          <t>Art. 8: Government obligation to create adequate mechanisms to involve civil society sectors, local communities, and environmental defence associations in elaboration of environmental policy, legislation, and PNGA implementation.</t>
        </is>
      </c>
      <c r="S5" s="3" t="n">
        <v>1</v>
      </c>
      <c r="T5" s="3" t="n">
        <v>0.25</v>
      </c>
      <c r="U5" s="2" t="inlineStr">
        <is>
          <t>'É obrigação do Governo criar mecanismos adequados para envolver os diversos sectores da sociedade civil, comunidades locais, em particular as associações de defesa do ambiente.'</t>
        </is>
      </c>
      <c r="V5" s="3">
        <f>AVERAGE(P5,T5)</f>
        <v/>
      </c>
      <c r="W5" s="2" t="inlineStr">
        <is>
          <t>Information/participation instrument; no enforcement mechanism in this article. Source: Colectânea de Legislação do Ambiente (FDUEM, Maputo 2020), user-uploaded PDF; policy URL not available.</t>
        </is>
      </c>
    </row>
    <row r="6">
      <c r="A6" s="2" t="inlineStr">
        <is>
          <t>Lei do Ambiente (Lei n.º 20/97, de 1 de Outubro)</t>
        </is>
      </c>
      <c r="B6" s="2" t="inlineStr">
        <is>
          <t>not available</t>
        </is>
      </c>
      <c r="C6" s="2" t="n">
        <v>1997</v>
      </c>
      <c r="D6"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6" s="2" t="n">
        <v>0</v>
      </c>
      <c r="F6" s="2" t="inlineStr"/>
      <c r="G6" s="3" t="n">
        <v>1</v>
      </c>
      <c r="H6" s="2" t="inlineStr">
        <is>
          <t>Legislation enacted by the Assembleia da República (Law No. 20/97), approved 31 July 1997 and promulgated 1 October 1997. Not an executive decree or strategy.</t>
        </is>
      </c>
      <c r="I6" s="3" t="n">
        <v>1</v>
      </c>
      <c r="J6" s="2" t="inlineStr">
        <is>
          <t>production, consumption, waste management, recycling, agriculture, industry, tourism, municipalities, fisheries, water, retail, transport</t>
        </is>
      </c>
      <c r="K6" s="3" t="n">
        <v>1</v>
      </c>
      <c r="L6" s="2" t="inlineStr">
        <is>
          <t>production, consumption, recycling, disposal, environmental leakage</t>
        </is>
      </c>
      <c r="M6" s="3" t="n">
        <v>0</v>
      </c>
      <c r="N6" s="2" t="inlineStr"/>
      <c r="O6" s="3">
        <f>AVERAGE(G6,I6,K6,M6,P6)</f>
        <v/>
      </c>
      <c r="P6" s="3" t="n">
        <v>1</v>
      </c>
      <c r="Q6" s="2" t="inlineStr">
        <is>
          <t>Environmental leakage</t>
        </is>
      </c>
      <c r="R6" s="2" t="inlineStr">
        <is>
          <t>Art. 9: Prohibits production, deposit in soil/subsoil, and discharge to water or atmosphere of toxic and polluting substances beyond legally established limits; also activities accelerating erosion, desertification, deforestation, or other environmental degradation. Expressly prohibits import of hazardous waste/residues except as provided in specific legislation.</t>
        </is>
      </c>
      <c r="S6" s="3" t="n">
        <v>1</v>
      </c>
      <c r="T6" s="3" t="n">
        <v>0.25</v>
      </c>
      <c r="U6" s="2" t="inlineStr">
        <is>
          <t>'Não é permitida... de quaisquer substâncias tóxicas e poluidoras.' 'É expressamente proibida a importação... de resíduos ou lixos perigosos.' Mandatory prohibition language; no exemptions stated in Art. 9 (+0.25 unconditional).</t>
        </is>
      </c>
      <c r="V6" s="3">
        <f>AVERAGE(P6,T6)</f>
        <v/>
      </c>
      <c r="W6" s="2" t="inlineStr">
        <is>
          <t>Directly applicable to plastic waste and hazardous plastic residues. Enforcement details in Arts. 27–28 coded separately. Source: Colectânea de Legislação do Ambiente (FDUEM, Maputo 2020), user-uploaded PDF; policy URL not available.</t>
        </is>
      </c>
    </row>
    <row r="7">
      <c r="A7" s="2" t="inlineStr">
        <is>
          <t>Lei do Ambiente (Lei n.º 20/97, de 1 de Outubro)</t>
        </is>
      </c>
      <c r="B7" s="2" t="inlineStr">
        <is>
          <t>not available</t>
        </is>
      </c>
      <c r="C7" s="2" t="n">
        <v>1997</v>
      </c>
      <c r="D7"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7" s="2" t="n">
        <v>0</v>
      </c>
      <c r="F7" s="2" t="inlineStr"/>
      <c r="G7" s="3" t="n">
        <v>1</v>
      </c>
      <c r="H7" s="2" t="inlineStr">
        <is>
          <t>Legislation enacted by the Assembleia da República (Law No. 20/97), approved 31 July 1997 and promulgated 1 October 1997. Not an executive decree or strategy.</t>
        </is>
      </c>
      <c r="I7" s="3" t="n">
        <v>1</v>
      </c>
      <c r="J7" s="2" t="inlineStr">
        <is>
          <t>production, consumption, waste management, recycling, agriculture, industry, tourism, municipalities, fisheries, water, retail, transport</t>
        </is>
      </c>
      <c r="K7" s="3" t="n">
        <v>1</v>
      </c>
      <c r="L7" s="2" t="inlineStr">
        <is>
          <t>production, consumption, recycling, disposal, environmental leakage</t>
        </is>
      </c>
      <c r="M7" s="3" t="n">
        <v>0</v>
      </c>
      <c r="N7" s="2" t="inlineStr"/>
      <c r="O7" s="3">
        <f>AVERAGE(G7,I7,K7,M7,P7)</f>
        <v/>
      </c>
      <c r="P7" s="3" t="n">
        <v>1</v>
      </c>
      <c r="Q7" s="2" t="inlineStr">
        <is>
          <t>Production</t>
        </is>
      </c>
      <c r="R7" s="2" t="inlineStr">
        <is>
          <t>Art. 10: Government must establish environmental quality standards to ensure sustainable resource use, including norms and deadlines for adapting agricultural/industrial processes, machines and transport means, and devices to retain or neutralise polluting substances.</t>
        </is>
      </c>
      <c r="S7" s="3" t="n">
        <v>1</v>
      </c>
      <c r="T7" s="3" t="n">
        <v>0.5</v>
      </c>
      <c r="U7" s="2" t="inlineStr">
        <is>
          <t>'O Governo deve estabelecer padrões de qualidade ambiental.' Responsible authority designated (+0.25). Standards include deadlines for industrial process adaptation and pollutant retention devices (+0.25 monitoring mechanism via prescribed norms and deadlines).</t>
        </is>
      </c>
      <c r="V7" s="3">
        <f>AVERAGE(P7,T7)</f>
        <v/>
      </c>
      <c r="W7" s="2" t="inlineStr">
        <is>
          <t>Mandatory obligation on Government ('deve'); individual standards adopted via subordinate regulation but the duty to establish them is operative. Source: Colectânea de Legislação do Ambiente (FDUEM, Maputo 2020), user-uploaded PDF; policy URL not available.</t>
        </is>
      </c>
    </row>
    <row r="8">
      <c r="A8" s="2" t="inlineStr">
        <is>
          <t>Lei do Ambiente (Lei n.º 20/97, de 1 de Outubro)</t>
        </is>
      </c>
      <c r="B8" s="2" t="inlineStr">
        <is>
          <t>not available</t>
        </is>
      </c>
      <c r="C8" s="2" t="n">
        <v>1997</v>
      </c>
      <c r="D8"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8" s="2" t="n">
        <v>0</v>
      </c>
      <c r="F8" s="2" t="inlineStr"/>
      <c r="G8" s="3" t="n">
        <v>1</v>
      </c>
      <c r="H8" s="2" t="inlineStr">
        <is>
          <t>Legislation enacted by the Assembleia da República (Law No. 20/97), approved 31 July 1997 and promulgated 1 October 1997. Not an executive decree or strategy.</t>
        </is>
      </c>
      <c r="I8" s="3" t="n">
        <v>1</v>
      </c>
      <c r="J8" s="2" t="inlineStr">
        <is>
          <t>production, consumption, waste management, recycling, agriculture, industry, tourism, municipalities, fisheries, water, retail, transport</t>
        </is>
      </c>
      <c r="K8" s="3" t="n">
        <v>1</v>
      </c>
      <c r="L8" s="2" t="inlineStr">
        <is>
          <t>production, consumption, recycling, disposal, environmental leakage</t>
        </is>
      </c>
      <c r="M8" s="3" t="n">
        <v>0</v>
      </c>
      <c r="N8" s="2" t="inlineStr"/>
      <c r="O8" s="3">
        <f>AVERAGE(G8,I8,K8,M8,P8)</f>
        <v/>
      </c>
      <c r="P8" s="3" t="n">
        <v>1</v>
      </c>
      <c r="Q8" s="2" t="inlineStr">
        <is>
          <t>Disposal</t>
        </is>
      </c>
      <c r="R8" s="2" t="inlineStr">
        <is>
          <t>Art. 14(1): Prohibits installation of infrastructure (including waste dumping) that causes significant negative environmental impact, especially in coastal zones, erosion/desertification zones, wetlands, protected areas, and other ecologically sensitive areas.</t>
        </is>
      </c>
      <c r="S8" s="3" t="n">
        <v>1</v>
      </c>
      <c r="T8" s="3" t="n">
        <v>0.5</v>
      </c>
      <c r="U8" s="2" t="inlineStr">
        <is>
          <t>'É proibida a implantação de infra-estruturas... mesmo se aplicando à deposição de lixos ou materiais usados.' Unconditional prohibition in sensitive zones (+0.25). 'São estabelecidas por regulamento as normas' — Government authority for implementation norms (+0.25).</t>
        </is>
      </c>
      <c r="V8" s="3">
        <f>AVERAGE(P8,T8)</f>
        <v/>
      </c>
      <c r="W8" s="2" t="inlineStr">
        <is>
          <t>Directly restricts waste dumping including plastic litter disposal in sensitive coastal and aquatic environments. Source: Colectânea de Legislação do Ambiente (FDUEM, Maputo 2020), user-uploaded PDF; policy URL not available.</t>
        </is>
      </c>
    </row>
    <row r="9">
      <c r="A9" s="2" t="inlineStr">
        <is>
          <t>Lei do Ambiente (Lei n.º 20/97, de 1 de Outubro)</t>
        </is>
      </c>
      <c r="B9" s="2" t="inlineStr">
        <is>
          <t>not available</t>
        </is>
      </c>
      <c r="C9" s="2" t="n">
        <v>1997</v>
      </c>
      <c r="D9"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9" s="2" t="n">
        <v>0</v>
      </c>
      <c r="F9" s="2" t="inlineStr"/>
      <c r="G9" s="3" t="n">
        <v>1</v>
      </c>
      <c r="H9" s="2" t="inlineStr">
        <is>
          <t>Legislation enacted by the Assembleia da República (Law No. 20/97), approved 31 July 1997 and promulgated 1 October 1997. Not an executive decree or strategy.</t>
        </is>
      </c>
      <c r="I9" s="3" t="n">
        <v>1</v>
      </c>
      <c r="J9" s="2" t="inlineStr">
        <is>
          <t>production, consumption, waste management, recycling, agriculture, industry, tourism, municipalities, fisheries, water, retail, transport</t>
        </is>
      </c>
      <c r="K9" s="3" t="n">
        <v>1</v>
      </c>
      <c r="L9" s="2" t="inlineStr">
        <is>
          <t>production, consumption, recycling, disposal, environmental leakage</t>
        </is>
      </c>
      <c r="M9" s="3" t="n">
        <v>0</v>
      </c>
      <c r="N9" s="2" t="inlineStr"/>
      <c r="O9" s="3">
        <f>AVERAGE(G9,I9,K9,M9,P9)</f>
        <v/>
      </c>
      <c r="P9" s="3" t="n">
        <v>1</v>
      </c>
      <c r="Q9" s="2" t="inlineStr">
        <is>
          <t>Production</t>
        </is>
      </c>
      <c r="R9" s="2" t="inlineStr">
        <is>
          <t>Art. 15: Environmental licensing and registration of activities susceptible to significant environmental impacts (by nature, location or scale) shall be conducted per a regime established by government regulation; environmental licence based on EIA and precedes all other required licences.</t>
        </is>
      </c>
      <c r="S9" s="3" t="n">
        <v>1</v>
      </c>
      <c r="T9" s="3" t="n">
        <v>0.5</v>
      </c>
      <c r="U9" s="2" t="inlineStr">
        <is>
          <t>'o licenciamento e o registo das actividades... são feitos de acordo com regime a estabelecer pelo governo.' Government as licensing authority (+0.25). EIA-based assessment requirement (+0.25 monitoring).</t>
        </is>
      </c>
      <c r="V9" s="3">
        <f>AVERAGE(P9,T9)</f>
        <v/>
      </c>
      <c r="W9" s="2" t="inlineStr">
        <is>
          <t>Applies to plastic production facilities, packaging plants, and waste management installations. Licensing regime details in subordinate regulation. Source: Colectânea de Legislação do Ambiente (FDUEM, Maputo 2020), user-uploaded PDF; policy URL not available.</t>
        </is>
      </c>
    </row>
    <row r="10">
      <c r="A10" s="2" t="inlineStr">
        <is>
          <t>Lei do Ambiente (Lei n.º 20/97, de 1 de Outubro)</t>
        </is>
      </c>
      <c r="B10" s="2" t="inlineStr">
        <is>
          <t>not available</t>
        </is>
      </c>
      <c r="C10" s="2" t="n">
        <v>1997</v>
      </c>
      <c r="D10"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0" s="2" t="n">
        <v>0</v>
      </c>
      <c r="F10" s="2" t="inlineStr"/>
      <c r="G10" s="3" t="n">
        <v>1</v>
      </c>
      <c r="H10" s="2" t="inlineStr">
        <is>
          <t>Legislation enacted by the Assembleia da República (Law No. 20/97), approved 31 July 1997 and promulgated 1 October 1997. Not an executive decree or strategy.</t>
        </is>
      </c>
      <c r="I10" s="3" t="n">
        <v>1</v>
      </c>
      <c r="J10" s="2" t="inlineStr">
        <is>
          <t>production, consumption, waste management, recycling, agriculture, industry, tourism, municipalities, fisheries, water, retail, transport</t>
        </is>
      </c>
      <c r="K10" s="3" t="n">
        <v>1</v>
      </c>
      <c r="L10" s="2" t="inlineStr">
        <is>
          <t>production, consumption, recycling, disposal, environmental leakage</t>
        </is>
      </c>
      <c r="M10" s="3" t="n">
        <v>0</v>
      </c>
      <c r="N10" s="2" t="inlineStr"/>
      <c r="O10" s="3">
        <f>AVERAGE(G10,I10,K10,M10,P10)</f>
        <v/>
      </c>
      <c r="P10" s="3" t="n">
        <v>1</v>
      </c>
      <c r="Q10" s="2" t="inlineStr">
        <is>
          <t>Production</t>
        </is>
      </c>
      <c r="R10" s="2" t="inlineStr">
        <is>
          <t>Art. 16–17: Environmental impact assessment (EIA) required based on EIA study by government-accredited entities. Minimum study content includes description of activity, baseline environment, modifications to environmental components, measures to suppress/reduce negative effects, and control/monitoring systems.</t>
        </is>
      </c>
      <c r="S10" s="3" t="n">
        <v>1</v>
      </c>
      <c r="T10" s="3" t="n">
        <v>0.5</v>
      </c>
      <c r="U10" s="2" t="inlineStr">
        <is>
          <t>'A avaliação do impacto ambiental tem como base um estudo de impacto ambiental a ser realizado por entidades credenciadas pelo Governo.' Accredited entities (+0.25 authority). Study must include 'sistemas previstos para controlo e monitorização da actividade' (+0.25 monitoring).</t>
        </is>
      </c>
      <c r="V10" s="3">
        <f>AVERAGE(P10,T10)</f>
        <v/>
      </c>
      <c r="W10" s="2" t="inlineStr">
        <is>
          <t>Arts. 16 and 17 coded as one instrument (EIA process and minimum content). Source: Colectânea de Legislação do Ambiente (FDUEM, Maputo 2020), user-uploaded PDF; policy URL not available.</t>
        </is>
      </c>
    </row>
    <row r="11">
      <c r="A11" s="2" t="inlineStr">
        <is>
          <t>Lei do Ambiente (Lei n.º 20/97, de 1 de Outubro)</t>
        </is>
      </c>
      <c r="B11" s="2" t="inlineStr">
        <is>
          <t>not available</t>
        </is>
      </c>
      <c r="C11" s="2" t="n">
        <v>1997</v>
      </c>
      <c r="D11"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1" s="2" t="n">
        <v>0</v>
      </c>
      <c r="F11" s="2" t="inlineStr"/>
      <c r="G11" s="3" t="n">
        <v>1</v>
      </c>
      <c r="H11" s="2" t="inlineStr">
        <is>
          <t>Legislation enacted by the Assembleia da República (Law No. 20/97), approved 31 July 1997 and promulgated 1 October 1997. Not an executive decree or strategy.</t>
        </is>
      </c>
      <c r="I11" s="3" t="n">
        <v>1</v>
      </c>
      <c r="J11" s="2" t="inlineStr">
        <is>
          <t>production, consumption, waste management, recycling, agriculture, industry, tourism, municipalities, fisheries, water, retail, transport</t>
        </is>
      </c>
      <c r="K11" s="3" t="n">
        <v>1</v>
      </c>
      <c r="L11" s="2" t="inlineStr">
        <is>
          <t>production, consumption, recycling, disposal, environmental leakage</t>
        </is>
      </c>
      <c r="M11" s="3" t="n">
        <v>0</v>
      </c>
      <c r="N11" s="2" t="inlineStr"/>
      <c r="O11" s="3">
        <f>AVERAGE(G11,I11,K11,M11,P11)</f>
        <v/>
      </c>
      <c r="P11" s="3" t="n">
        <v>1</v>
      </c>
      <c r="Q11" s="2" t="inlineStr">
        <is>
          <t>Production</t>
        </is>
      </c>
      <c r="R11" s="2" t="inlineStr">
        <is>
          <t>Art. 18: All operating activities lacking appropriate technologies/processes that result or may result in environmental damage are subject to environmental audits; repair costs borne by entrepreneurs.</t>
        </is>
      </c>
      <c r="S11" s="3" t="n">
        <v>1</v>
      </c>
      <c r="T11" s="3" t="n">
        <v>0.75</v>
      </c>
      <c r="U11" s="2" t="inlineStr">
        <is>
          <t>'são objecto de auditorias ambientais.' Monitoring via audits (+0.25). 'Os custos decorrentes da reparação dos danos ambientais... são da responsabilidade dos empreendedores' — enforcement/liability (+0.25). 'São estabelecidas por regulamento as normas' — authority (+0.25). Applies to all non-compliant operating activities (+0.25 unconditional).</t>
        </is>
      </c>
      <c r="V11" s="3">
        <f>AVERAGE(P11,T11)</f>
        <v/>
      </c>
      <c r="W11" s="2" t="inlineStr">
        <is>
          <t>Relevant to legacy industrial plastic production without adequate pollution controls. Source: Colectânea de Legislação do Ambiente (FDUEM, Maputo 2020), user-uploaded PDF; policy URL not available.</t>
        </is>
      </c>
    </row>
    <row r="12">
      <c r="A12" s="2" t="inlineStr">
        <is>
          <t>Lei do Ambiente (Lei n.º 20/97, de 1 de Outubro)</t>
        </is>
      </c>
      <c r="B12" s="2" t="inlineStr">
        <is>
          <t>not available</t>
        </is>
      </c>
      <c r="C12" s="2" t="n">
        <v>1997</v>
      </c>
      <c r="D12"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2" s="2" t="n">
        <v>0</v>
      </c>
      <c r="F12" s="2" t="inlineStr"/>
      <c r="G12" s="3" t="n">
        <v>1</v>
      </c>
      <c r="H12" s="2" t="inlineStr">
        <is>
          <t>Legislation enacted by the Assembleia da República (Law No. 20/97), approved 31 July 1997 and promulgated 1 October 1997. Not an executive decree or strategy.</t>
        </is>
      </c>
      <c r="I12" s="3" t="n">
        <v>1</v>
      </c>
      <c r="J12" s="2" t="inlineStr">
        <is>
          <t>production, consumption, waste management, recycling, agriculture, industry, tourism, municipalities, fisheries, water, retail, transport</t>
        </is>
      </c>
      <c r="K12" s="3" t="n">
        <v>1</v>
      </c>
      <c r="L12" s="2" t="inlineStr">
        <is>
          <t>production, consumption, recycling, disposal, environmental leakage</t>
        </is>
      </c>
      <c r="M12" s="3" t="n">
        <v>0</v>
      </c>
      <c r="N12" s="2" t="inlineStr"/>
      <c r="O12" s="3">
        <f>AVERAGE(G12,I12,K12,M12,P12)</f>
        <v/>
      </c>
      <c r="P12" s="3" t="n">
        <v>1</v>
      </c>
      <c r="Q12" s="2" t="inlineStr">
        <is>
          <t>Consumption</t>
        </is>
      </c>
      <c r="R12" s="2" t="inlineStr">
        <is>
          <t>Art. 24: All persons have the obligation to use natural resources responsibly and sustainably, wherever they are.</t>
        </is>
      </c>
      <c r="S12" s="3" t="n">
        <v>1</v>
      </c>
      <c r="T12" s="3" t="n">
        <v>0.25</v>
      </c>
      <c r="U12" s="2" t="inlineStr">
        <is>
          <t>'Todas as pessoas têm a obrigação de utilizar os recursos naturais de forma responsável e sustentável.' Mandatory language; no exemptions (+0.25 unconditional).</t>
        </is>
      </c>
      <c r="V12" s="3">
        <f>AVERAGE(P12,T12)</f>
        <v/>
      </c>
      <c r="W12" s="2" t="inlineStr">
        <is>
          <t>General consumption-phase obligation applicable to improper disposal of plastic and other waste. Source: Colectânea de Legislação do Ambiente (FDUEM, Maputo 2020), user-uploaded PDF; policy URL not available.</t>
        </is>
      </c>
    </row>
    <row r="13">
      <c r="A13" s="2" t="inlineStr">
        <is>
          <t>Lei do Ambiente (Lei n.º 20/97, de 1 de Outubro)</t>
        </is>
      </c>
      <c r="B13" s="2" t="inlineStr">
        <is>
          <t>not available</t>
        </is>
      </c>
      <c r="C13" s="2" t="n">
        <v>1997</v>
      </c>
      <c r="D13"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3" s="2" t="n">
        <v>0</v>
      </c>
      <c r="F13" s="2" t="inlineStr"/>
      <c r="G13" s="3" t="n">
        <v>1</v>
      </c>
      <c r="H13" s="2" t="inlineStr">
        <is>
          <t>Legislation enacted by the Assembleia da República (Law No. 20/97), approved 31 July 1997 and promulgated 1 October 1997. Not an executive decree or strategy.</t>
        </is>
      </c>
      <c r="I13" s="3" t="n">
        <v>1</v>
      </c>
      <c r="J13" s="2" t="inlineStr">
        <is>
          <t>production, consumption, waste management, recycling, agriculture, industry, tourism, municipalities, fisheries, water, retail, transport</t>
        </is>
      </c>
      <c r="K13" s="3" t="n">
        <v>1</v>
      </c>
      <c r="L13" s="2" t="inlineStr">
        <is>
          <t>production, consumption, recycling, disposal, environmental leakage</t>
        </is>
      </c>
      <c r="M13" s="3" t="n">
        <v>0</v>
      </c>
      <c r="N13" s="2" t="inlineStr"/>
      <c r="O13" s="3">
        <f>AVERAGE(G13,I13,K13,M13,P13)</f>
        <v/>
      </c>
      <c r="P13" s="3" t="n">
        <v>1</v>
      </c>
      <c r="Q13" s="2" t="inlineStr">
        <is>
          <t>Production</t>
        </is>
      </c>
      <c r="R13" s="2" t="inlineStr">
        <is>
          <t>Art. 25: All persons exercising activities involving high risk of environmental degradation, as classified under EIA legislation, must secure civil liability insurance.</t>
        </is>
      </c>
      <c r="S13" s="3" t="n">
        <v>1</v>
      </c>
      <c r="T13" s="3" t="n">
        <v>0.5</v>
      </c>
      <c r="U13" s="2" t="inlineStr">
        <is>
          <t>'devem segurar a sua responsabilidade civil.' Mandatory insurance requirement (+0.25 unconditional). Classification by EIA legislation establishes designated authority framework (+0.25).</t>
        </is>
      </c>
      <c r="V13" s="3">
        <f>AVERAGE(P13,T13)</f>
        <v/>
      </c>
      <c r="W13" s="2" t="inlineStr">
        <is>
          <t>Applies to high-risk activities including waste management and industrial facilities. Source: Colectânea de Legislação do Ambiente (FDUEM, Maputo 2020), user-uploaded PDF; policy URL not available.</t>
        </is>
      </c>
    </row>
    <row r="14">
      <c r="A14" s="2" t="inlineStr">
        <is>
          <t>Lei do Ambiente (Lei n.º 20/97, de 1 de Outubro)</t>
        </is>
      </c>
      <c r="B14" s="2" t="inlineStr">
        <is>
          <t>not available</t>
        </is>
      </c>
      <c r="C14" s="2" t="n">
        <v>1997</v>
      </c>
      <c r="D14"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4" s="2" t="n">
        <v>0</v>
      </c>
      <c r="F14" s="2" t="inlineStr"/>
      <c r="G14" s="3" t="n">
        <v>1</v>
      </c>
      <c r="H14" s="2" t="inlineStr">
        <is>
          <t>Legislation enacted by the Assembleia da República (Law No. 20/97), approved 31 July 1997 and promulgated 1 October 1997. Not an executive decree or strategy.</t>
        </is>
      </c>
      <c r="I14" s="3" t="n">
        <v>1</v>
      </c>
      <c r="J14" s="2" t="inlineStr">
        <is>
          <t>production, consumption, waste management, recycling, agriculture, industry, tourism, municipalities, fisheries, water, retail, transport</t>
        </is>
      </c>
      <c r="K14" s="3" t="n">
        <v>1</v>
      </c>
      <c r="L14" s="2" t="inlineStr">
        <is>
          <t>production, consumption, recycling, disposal, environmental leakage</t>
        </is>
      </c>
      <c r="M14" s="3" t="n">
        <v>0</v>
      </c>
      <c r="N14" s="2" t="inlineStr"/>
      <c r="O14" s="3">
        <f>AVERAGE(G14,I14,K14,M14,P14)</f>
        <v/>
      </c>
      <c r="P14" s="3" t="n">
        <v>1</v>
      </c>
      <c r="Q14" s="2" t="inlineStr">
        <is>
          <t>Environmental leakage</t>
        </is>
      </c>
      <c r="R14" s="2" t="inlineStr">
        <is>
          <t>Art. 26: Strict liability — all who cause significant environmental damage or paralyse economic activities through especially dangerous activities, regardless of fault, must pay compensation; Government supervises damage valuation via environmental expert appraisal.</t>
        </is>
      </c>
      <c r="S14" s="3" t="n">
        <v>1</v>
      </c>
      <c r="T14" s="3" t="n">
        <v>0.5</v>
      </c>
      <c r="U14" s="2" t="inlineStr">
        <is>
          <t>'Constituem-se na obrigação de pagar uma indemnização aos lesados todos aqueles que, independentemente de culpa... causem danos significativos ao ambiente.' Enforcement via indemnisation (+0.25). 'Compete ao Governo supervisar a avaliação da gravidade dos danos' (+0.25 monitoring).</t>
        </is>
      </c>
      <c r="V14" s="3">
        <f>AVERAGE(P14,T14)</f>
        <v/>
      </c>
      <c r="W14" s="2" t="inlineStr">
        <is>
          <t>Polluter-pays enforcement mechanism applicable to plastic pollution damage. Source: Colectânea de Legislação do Ambiente (FDUEM, Maputo 2020), user-uploaded PDF; policy URL not available.</t>
        </is>
      </c>
    </row>
    <row r="15">
      <c r="A15" s="2" t="inlineStr">
        <is>
          <t>Lei do Ambiente (Lei n.º 20/97, de 1 de Outubro)</t>
        </is>
      </c>
      <c r="B15" s="2" t="inlineStr">
        <is>
          <t>not available</t>
        </is>
      </c>
      <c r="C15" s="2" t="n">
        <v>1997</v>
      </c>
      <c r="D15"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5" s="2" t="n">
        <v>0</v>
      </c>
      <c r="F15" s="2" t="inlineStr"/>
      <c r="G15" s="3" t="n">
        <v>1</v>
      </c>
      <c r="H15" s="2" t="inlineStr">
        <is>
          <t>Legislation enacted by the Assembleia da República (Law No. 20/97), approved 31 July 1997 and promulgated 1 October 1997. Not an executive decree or strategy.</t>
        </is>
      </c>
      <c r="I15" s="3" t="n">
        <v>1</v>
      </c>
      <c r="J15" s="2" t="inlineStr">
        <is>
          <t>production, consumption, waste management, recycling, agriculture, industry, tourism, municipalities, fisheries, water, retail, transport</t>
        </is>
      </c>
      <c r="K15" s="3" t="n">
        <v>1</v>
      </c>
      <c r="L15" s="2" t="inlineStr">
        <is>
          <t>production, consumption, recycling, disposal, environmental leakage</t>
        </is>
      </c>
      <c r="M15" s="3" t="n">
        <v>0</v>
      </c>
      <c r="N15" s="2" t="inlineStr"/>
      <c r="O15" s="3">
        <f>AVERAGE(G15,I15,K15,M15,P15)</f>
        <v/>
      </c>
      <c r="P15" s="3" t="n">
        <v>1</v>
      </c>
      <c r="Q15" s="2" t="inlineStr">
        <is>
          <t>Environmental leakage</t>
        </is>
      </c>
      <c r="R15" s="2" t="inlineStr">
        <is>
          <t>Art. 27: Environmental crimes and contraventions to be provided in specific legislation; Public Ministry responsible for defending environmental values protected by this Law.</t>
        </is>
      </c>
      <c r="S15" s="3" t="n">
        <v>0</v>
      </c>
      <c r="T15" s="3" t="n">
        <v>0.25</v>
      </c>
      <c r="U15" s="2" t="inlineStr">
        <is>
          <t>'As infracções de carácter criminal, bem como as contravenções relativas ao ambiente, são objecto de previsão em legislação específica.' Enabling power — penalties defined elsewhere. 'Compete ao Ministério Público a defesa dos valores ambientais' (+0.25 authority).</t>
        </is>
      </c>
      <c r="V15" s="3">
        <f>AVERAGE(P15,T15)</f>
        <v/>
      </c>
      <c r="W15" s="2" t="inlineStr">
        <is>
          <t>In-force = 0 per Rule 12: crimes/contraventions deferred to separate legislation. May be partially operationalised via Penal Code and sectoral decrees; not evidenced in this Law text alone. Source: Colectânea de Legislação do Ambiente (FDUEM, Maputo 2020), user-uploaded PDF; policy URL not available.</t>
        </is>
      </c>
    </row>
    <row r="16">
      <c r="A16" s="2" t="inlineStr">
        <is>
          <t>Lei do Ambiente (Lei n.º 20/97, de 1 de Outubro)</t>
        </is>
      </c>
      <c r="B16" s="2" t="inlineStr">
        <is>
          <t>not available</t>
        </is>
      </c>
      <c r="C16" s="2" t="n">
        <v>1997</v>
      </c>
      <c r="D16"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6" s="2" t="n">
        <v>0</v>
      </c>
      <c r="F16" s="2" t="inlineStr"/>
      <c r="G16" s="3" t="n">
        <v>1</v>
      </c>
      <c r="H16" s="2" t="inlineStr">
        <is>
          <t>Legislation enacted by the Assembleia da República (Law No. 20/97), approved 31 July 1997 and promulgated 1 October 1997. Not an executive decree or strategy.</t>
        </is>
      </c>
      <c r="I16" s="3" t="n">
        <v>1</v>
      </c>
      <c r="J16" s="2" t="inlineStr">
        <is>
          <t>production, consumption, waste management, recycling, agriculture, industry, tourism, municipalities, fisheries, water, retail, transport</t>
        </is>
      </c>
      <c r="K16" s="3" t="n">
        <v>1</v>
      </c>
      <c r="L16" s="2" t="inlineStr">
        <is>
          <t>production, consumption, recycling, disposal, environmental leakage</t>
        </is>
      </c>
      <c r="M16" s="3" t="n">
        <v>0</v>
      </c>
      <c r="N16" s="2" t="inlineStr"/>
      <c r="O16" s="3">
        <f>AVERAGE(G16,I16,K16,M16,P16)</f>
        <v/>
      </c>
      <c r="P16" s="3" t="n">
        <v>0.2</v>
      </c>
      <c r="Q16" s="2" t="inlineStr">
        <is>
          <t>Waste management</t>
        </is>
      </c>
      <c r="R16" s="2" t="inlineStr">
        <is>
          <t>Art. 28: Government shall create, under terms to be regulated, a corps of environmental inspection agents competent to ensure implementation of environmental legislation and take preventive measures.</t>
        </is>
      </c>
      <c r="S16" s="3" t="n">
        <v>0</v>
      </c>
      <c r="T16" s="3" t="n">
        <v>0.25</v>
      </c>
      <c r="U16" s="2" t="inlineStr">
        <is>
          <t>'Compete ao Governo criar, em termos a regulamentar, um corpo de agentes de fiscalização ambiental.' Enabling power ('em termos a regulamentar') — operative only once subordinate regulation creates the inspection corps.</t>
        </is>
      </c>
      <c r="V16" s="3">
        <f>AVERAGE(P16,T16)</f>
        <v/>
      </c>
      <c r="W16" s="2" t="inlineStr">
        <is>
          <t>Governance/enforcement framework instrument. In-force = 0 unless subordinate regulation operationalising inspection agents is evidenced (not in this document). Source: Colectânea de Legislação do Ambiente (FDUEM, Maputo 2020), user-uploaded PDF; policy URL not available.</t>
        </is>
      </c>
    </row>
    <row r="17">
      <c r="A17" s="2" t="inlineStr">
        <is>
          <t>Lei do Ambiente (Lei n.º 20/97, de 1 de Outubro)</t>
        </is>
      </c>
      <c r="B17" s="2" t="inlineStr">
        <is>
          <t>not available</t>
        </is>
      </c>
      <c r="C17" s="2" t="n">
        <v>1997</v>
      </c>
      <c r="D17"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7" s="2" t="n">
        <v>0</v>
      </c>
      <c r="F17" s="2" t="inlineStr"/>
      <c r="G17" s="3" t="n">
        <v>1</v>
      </c>
      <c r="H17" s="2" t="inlineStr">
        <is>
          <t>Legislation enacted by the Assembleia da República (Law No. 20/97), approved 31 July 1997 and promulgated 1 October 1997. Not an executive decree or strategy.</t>
        </is>
      </c>
      <c r="I17" s="3" t="n">
        <v>1</v>
      </c>
      <c r="J17" s="2" t="inlineStr">
        <is>
          <t>production, consumption, waste management, recycling, agriculture, industry, tourism, municipalities, fisheries, water, retail, transport</t>
        </is>
      </c>
      <c r="K17" s="3" t="n">
        <v>1</v>
      </c>
      <c r="L17" s="2" t="inlineStr">
        <is>
          <t>production, consumption, recycling, disposal, environmental leakage</t>
        </is>
      </c>
      <c r="M17" s="3" t="n">
        <v>0</v>
      </c>
      <c r="N17" s="2" t="inlineStr"/>
      <c r="O17" s="3">
        <f>AVERAGE(G17,I17,K17,M17,P17)</f>
        <v/>
      </c>
      <c r="P17" s="3" t="n">
        <v>1</v>
      </c>
      <c r="Q17" s="2" t="inlineStr">
        <is>
          <t>Waste management</t>
        </is>
      </c>
      <c r="R17" s="2" t="inlineStr">
        <is>
          <t>Art. 29: All persons in charge of an activity or place subject to inspection must collaborate with environmental inspection agents.</t>
        </is>
      </c>
      <c r="S17" s="3" t="n">
        <v>1</v>
      </c>
      <c r="T17" s="3" t="n">
        <v>0.25</v>
      </c>
      <c r="U17" s="2" t="inlineStr">
        <is>
          <t>'Todas as pessoas encarregues de uma actividade ou lugar sujeito à fiscalização devem colaborar com os agentes de fiscalização.' Mandatory collaboration duty.</t>
        </is>
      </c>
      <c r="V17" s="3">
        <f>AVERAGE(P17,T17)</f>
        <v/>
      </c>
      <c r="W17" s="2" t="inlineStr">
        <is>
          <t>Binding duty operative in law text; effectiveness depends on Art. 28 inspection corps being operationalised. Source: Colectânea de Legislação do Ambiente (FDUEM, Maputo 2020), user-uploaded PDF; policy URL not available.</t>
        </is>
      </c>
    </row>
    <row r="18">
      <c r="A18" s="2" t="inlineStr">
        <is>
          <t>Lei do Ambiente (Lei n.º 20/97, de 1 de Outubro)</t>
        </is>
      </c>
      <c r="B18" s="2" t="inlineStr">
        <is>
          <t>not available</t>
        </is>
      </c>
      <c r="C18" s="2" t="n">
        <v>1997</v>
      </c>
      <c r="D18"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8" s="2" t="n">
        <v>0</v>
      </c>
      <c r="F18" s="2" t="inlineStr"/>
      <c r="G18" s="3" t="n">
        <v>1</v>
      </c>
      <c r="H18" s="2" t="inlineStr">
        <is>
          <t>Legislation enacted by the Assembleia da República (Law No. 20/97), approved 31 July 1997 and promulgated 1 October 1997. Not an executive decree or strategy.</t>
        </is>
      </c>
      <c r="I18" s="3" t="n">
        <v>1</v>
      </c>
      <c r="J18" s="2" t="inlineStr">
        <is>
          <t>production, consumption, waste management, recycling, agriculture, industry, tourism, municipalities, fisheries, water, retail, transport</t>
        </is>
      </c>
      <c r="K18" s="3" t="n">
        <v>1</v>
      </c>
      <c r="L18" s="2" t="inlineStr">
        <is>
          <t>production, consumption, recycling, disposal, environmental leakage</t>
        </is>
      </c>
      <c r="M18" s="3" t="n">
        <v>0</v>
      </c>
      <c r="N18" s="2" t="inlineStr"/>
      <c r="O18" s="3">
        <f>AVERAGE(G18,I18,K18,M18,P18)</f>
        <v/>
      </c>
      <c r="P18" s="3" t="n">
        <v>0.2</v>
      </c>
      <c r="Q18" s="2" t="inlineStr">
        <is>
          <t>Waste management</t>
        </is>
      </c>
      <c r="R18" s="2" t="inlineStr">
        <is>
          <t>Art. 30: Government, in coordination with local authorities, promotes creation of community environmental inspection agents to ensure community participation in enforcement.</t>
        </is>
      </c>
      <c r="S18" s="3" t="n">
        <v>0</v>
      </c>
      <c r="T18" s="3" t="n">
        <v>0.25</v>
      </c>
      <c r="U18" s="2" t="inlineStr">
        <is>
          <t>'o Governo... promove a criação de agentes de fiscalização comunitários.' Promotional/enabling language — not a binding operative requirement.</t>
        </is>
      </c>
      <c r="V18" s="3">
        <f>AVERAGE(P18,T18)</f>
        <v/>
      </c>
      <c r="W18" s="2" t="inlineStr">
        <is>
          <t>Multi-level enforcement coordination; promotional rather than mandatory. Source: Colectânea de Legislação do Ambiente (FDUEM, Maputo 2020), user-uploaded PDF; policy URL not available.</t>
        </is>
      </c>
    </row>
    <row r="19">
      <c r="A19" s="2" t="inlineStr">
        <is>
          <t>Lei do Ambiente (Lei n.º 20/97, de 1 de Outubro)</t>
        </is>
      </c>
      <c r="B19" s="2" t="inlineStr">
        <is>
          <t>not available</t>
        </is>
      </c>
      <c r="C19" s="2" t="n">
        <v>1997</v>
      </c>
      <c r="D19"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19" s="2" t="n">
        <v>0</v>
      </c>
      <c r="F19" s="2" t="inlineStr"/>
      <c r="G19" s="3" t="n">
        <v>1</v>
      </c>
      <c r="H19" s="2" t="inlineStr">
        <is>
          <t>Legislation enacted by the Assembleia da República (Law No. 20/97), approved 31 July 1997 and promulgated 1 October 1997. Not an executive decree or strategy.</t>
        </is>
      </c>
      <c r="I19" s="3" t="n">
        <v>1</v>
      </c>
      <c r="J19" s="2" t="inlineStr">
        <is>
          <t>production, consumption, waste management, recycling, agriculture, industry, tourism, municipalities, fisheries, water, retail, transport</t>
        </is>
      </c>
      <c r="K19" s="3" t="n">
        <v>1</v>
      </c>
      <c r="L19" s="2" t="inlineStr">
        <is>
          <t>production, consumption, recycling, disposal, environmental leakage</t>
        </is>
      </c>
      <c r="M19" s="3" t="n">
        <v>0</v>
      </c>
      <c r="N19" s="2" t="inlineStr"/>
      <c r="O19" s="3">
        <f>AVERAGE(G19,I19,K19,M19,P19)</f>
        <v/>
      </c>
      <c r="P19" s="3" t="n">
        <v>0.6</v>
      </c>
      <c r="Q19" s="2" t="inlineStr">
        <is>
          <t>Production</t>
        </is>
      </c>
      <c r="R19" s="2" t="inlineStr">
        <is>
          <t>Art. 31: Government shall create economic or other incentives to encourage use of environmentally sound technologies and productive processes.</t>
        </is>
      </c>
      <c r="S19" s="3" t="n">
        <v>0</v>
      </c>
      <c r="T19" s="3" t="n">
        <v>0.25</v>
      </c>
      <c r="U19" s="2" t="inlineStr">
        <is>
          <t>'Compete ao Governo criar incentivos económicos ou de outra natureza com vista a encorajar a utilização de tecnologias e processos produtivos ambientalmente sãos.' Enabling power — incentives not yet specified or created in this Law.</t>
        </is>
      </c>
      <c r="V19" s="3">
        <f>AVERAGE(P19,T19)</f>
        <v/>
      </c>
      <c r="W19" s="2" t="inlineStr">
        <is>
          <t>Economic instrument enabling power. Could support clean production/recycling incentives but not operative until Government acts. Source: Colectânea de Legislação do Ambiente (FDUEM, Maputo 2020), user-uploaded PDF; policy URL not available.</t>
        </is>
      </c>
    </row>
    <row r="20">
      <c r="A20" s="2" t="inlineStr">
        <is>
          <t>Lei do Ambiente (Lei n.º 20/97, de 1 de Outubro)</t>
        </is>
      </c>
      <c r="B20" s="2" t="inlineStr">
        <is>
          <t>not available</t>
        </is>
      </c>
      <c r="C20" s="2" t="n">
        <v>1997</v>
      </c>
      <c r="D20" s="2" t="inlineStr">
        <is>
          <t>Define the legal bases for correct use and management of the environment and its components, toward the materialisation of a system of sustainable development. The law establishes pollution prohibitions, environmental quality standards, licensing and EIA requirements, waste-related restrictions, inspection, and liability frameworks that apply to plastic pollution and waste streams.</t>
        </is>
      </c>
      <c r="E20" s="2" t="n">
        <v>0</v>
      </c>
      <c r="F20" s="2" t="inlineStr"/>
      <c r="G20" s="3" t="n">
        <v>1</v>
      </c>
      <c r="H20" s="2" t="inlineStr">
        <is>
          <t>Legislation enacted by the Assembleia da República (Law No. 20/97), approved 31 July 1997 and promulgated 1 October 1997. Not an executive decree or strategy.</t>
        </is>
      </c>
      <c r="I20" s="3" t="n">
        <v>1</v>
      </c>
      <c r="J20" s="2" t="inlineStr">
        <is>
          <t>production, consumption, waste management, recycling, agriculture, industry, tourism, municipalities, fisheries, water, retail, transport</t>
        </is>
      </c>
      <c r="K20" s="3" t="n">
        <v>1</v>
      </c>
      <c r="L20" s="2" t="inlineStr">
        <is>
          <t>production, consumption, recycling, disposal, environmental leakage</t>
        </is>
      </c>
      <c r="M20" s="3" t="n">
        <v>0</v>
      </c>
      <c r="N20" s="2" t="inlineStr"/>
      <c r="O20" s="3">
        <f>AVERAGE(G20,I20,K20,M20,P20)</f>
        <v/>
      </c>
      <c r="P20" s="3" t="n">
        <v>0.2</v>
      </c>
      <c r="Q20" s="2" t="inlineStr">
        <is>
          <t>Waste management</t>
        </is>
      </c>
      <c r="R20" s="2" t="inlineStr">
        <is>
          <t>Art. 33: Government shall adopt the regulatory measures necessary for effective implementation of this Law — enabling complementary regulation on waste management, standards, and sectoral rules.</t>
        </is>
      </c>
      <c r="S20" s="3" t="n">
        <v>0</v>
      </c>
      <c r="T20" s="3" t="n">
        <v>0.25</v>
      </c>
      <c r="U20" s="2" t="inlineStr">
        <is>
          <t>'Cabe ao Governo adoptar as medidas regulamentares necessárias à efectivação da presente Lei.' Enabling power for subordinate regulation.</t>
        </is>
      </c>
      <c r="V20" s="3">
        <f>AVERAGE(P20,T20)</f>
        <v/>
      </c>
      <c r="W20" s="2" t="inlineStr">
        <is>
          <t>Enabling power subsequently exercised via Decreto 94/2014 (urban solid waste), Decreto 16/2015 (plastic bags), and other decrees. Cross-reference only. Source: Colectânea de Legislação do Ambiente (FDUEM, Maputo 2020), user-uploaded PDF; policy URL not available.</t>
        </is>
      </c>
    </row>
    <row r="21">
      <c r="A21" s="2" t="inlineStr">
        <is>
          <t>Regulamento sobre a Gestão de Resíduos Biomédicos (Decreto n.º 8/2003, de 18 de Fevereiro)</t>
        </is>
      </c>
      <c r="B21" s="2" t="inlineStr">
        <is>
          <t>not available</t>
        </is>
      </c>
      <c r="C21" s="2" t="n">
        <v>2003</v>
      </c>
      <c r="D21" s="2" t="inlineStr">
        <is>
          <t>Establish rules for biomedical waste management to safeguard worker and public health and minimise environmental impacts, including requirements for plastic bags and containers used in segregation, storage and disposal of infectious and other clinical waste.</t>
        </is>
      </c>
      <c r="E21" s="2" t="n">
        <v>0</v>
      </c>
      <c r="F21" s="2" t="inlineStr"/>
      <c r="G21" s="3" t="n">
        <v>0.75</v>
      </c>
      <c r="H21" s="2" t="inlineStr">
        <is>
          <t>Executive decree approved by Council of Ministers, 18 February 2003, under Lei 20/97 Art. 33.</t>
        </is>
      </c>
      <c r="I21" s="3" t="n">
        <v>0.5</v>
      </c>
      <c r="J21" s="2" t="inlineStr">
        <is>
          <t>waste management, health, municipalities, industry, environment</t>
        </is>
      </c>
      <c r="K21" s="3" t="n">
        <v>0.5</v>
      </c>
      <c r="L21" s="2" t="inlineStr">
        <is>
          <t>consumption, disposal</t>
        </is>
      </c>
      <c r="M21" s="3" t="n">
        <v>0</v>
      </c>
      <c r="N21" s="2" t="inlineStr"/>
      <c r="O21" s="3">
        <f>AVERAGE(G21,I21,K21,M21,P21)</f>
        <v/>
      </c>
      <c r="P21" s="3" t="n">
        <v>1</v>
      </c>
      <c r="Q21" s="2" t="inlineStr">
        <is>
          <t>Disposal</t>
        </is>
      </c>
      <c r="R21" s="2" t="inlineStr">
        <is>
          <t>Art. 9: Infectious waste must be segregated in yellow plastic bags or other plastic bags/impermeable containers stamped with yellow 'Lixo Infeccioso' labels; containers identified with international infectious-waste symbol.</t>
        </is>
      </c>
      <c r="S21" s="3" t="n">
        <v>1</v>
      </c>
      <c r="T21" s="3" t="n">
        <v>0.75</v>
      </c>
      <c r="U21" s="2" t="inlineStr">
        <is>
          <t>'O lixo infeccioso deverá ser segregado em sacos plásticos amarelos.' Colour-coding and labelling mandatory (+0.25 unconditional). Occupational health monitor designated per unit (+0.25 authority). Transport and disposal rules with penalties in later articles (+0.25 enforcement).</t>
        </is>
      </c>
      <c r="V21" s="3">
        <f>AVERAGE(P21,T21)</f>
        <v/>
      </c>
      <c r="W21" s="2" t="inlineStr">
        <is>
          <t>Explicit plastic bag requirements for clinical waste streams. Source: Colectânea de Legislação do Ambiente (FDUEM, Maputo 2020), user-uploaded PDF; policy URL not available.</t>
        </is>
      </c>
    </row>
    <row r="22">
      <c r="A22" s="2" t="inlineStr">
        <is>
          <t>Regulamento sobre a Gestão de Resíduos Biomédicos (Decreto n.º 8/2003, de 18 de Fevereiro)</t>
        </is>
      </c>
      <c r="B22" s="2" t="inlineStr">
        <is>
          <t>not available</t>
        </is>
      </c>
      <c r="C22" s="2" t="n">
        <v>2003</v>
      </c>
      <c r="D22" s="2" t="inlineStr">
        <is>
          <t>Establish rules for biomedical waste management to safeguard worker and public health and minimise environmental impacts, including requirements for plastic bags and containers used in segregation, storage and disposal of infectious and other clinical waste.</t>
        </is>
      </c>
      <c r="E22" s="2" t="n">
        <v>0</v>
      </c>
      <c r="F22" s="2" t="inlineStr"/>
      <c r="G22" s="3" t="n">
        <v>0.75</v>
      </c>
      <c r="H22" s="2" t="inlineStr">
        <is>
          <t>Executive decree approved by Council of Ministers, 18 February 2003, under Lei 20/97 Art. 33.</t>
        </is>
      </c>
      <c r="I22" s="3" t="n">
        <v>0.5</v>
      </c>
      <c r="J22" s="2" t="inlineStr">
        <is>
          <t>waste management, health, municipalities, industry, environment</t>
        </is>
      </c>
      <c r="K22" s="3" t="n">
        <v>0.5</v>
      </c>
      <c r="L22" s="2" t="inlineStr">
        <is>
          <t>consumption, disposal</t>
        </is>
      </c>
      <c r="M22" s="3" t="n">
        <v>0</v>
      </c>
      <c r="N22" s="2" t="inlineStr"/>
      <c r="O22" s="3">
        <f>AVERAGE(G22,I22,K22,M22,P22)</f>
        <v/>
      </c>
      <c r="P22" s="3" t="n">
        <v>1</v>
      </c>
      <c r="Q22" s="2" t="inlineStr">
        <is>
          <t>Disposal</t>
        </is>
      </c>
      <c r="R22" s="2" t="inlineStr">
        <is>
          <t>Art. 12: Common (non-infectious) waste shall be placed in clear transparent plastic bags, or alternative containers where transparent bags unavailable.</t>
        </is>
      </c>
      <c r="S22" s="3" t="n">
        <v>1</v>
      </c>
      <c r="T22" s="3" t="n">
        <v>0.5</v>
      </c>
      <c r="U22" s="2" t="inlineStr">
        <is>
          <t>'O lixo comum deverá ser colocado em sacos plásticos claros e transparentes.' Mandatory segregation standard (+0.25). Health units responsible (+0.25 authority).</t>
        </is>
      </c>
      <c r="V22" s="3">
        <f>AVERAGE(P22,T22)</f>
        <v/>
      </c>
      <c r="W22" s="2" t="inlineStr">
        <is>
          <t>Plastic bag specification for non-hazardous clinical waste. Source: Colectânea de Legislação do Ambiente (FDUEM, Maputo 2020), user-uploaded PDF; policy URL not available.</t>
        </is>
      </c>
    </row>
    <row r="23">
      <c r="A23" s="2" t="inlineStr">
        <is>
          <t>Regulamento sobre a Gestão de Resíduos Biomédicos (Decreto n.º 8/2003, de 18 de Fevereiro)</t>
        </is>
      </c>
      <c r="B23" s="2" t="inlineStr">
        <is>
          <t>not available</t>
        </is>
      </c>
      <c r="C23" s="2" t="n">
        <v>2003</v>
      </c>
      <c r="D23" s="2" t="inlineStr">
        <is>
          <t>Establish rules for biomedical waste management to safeguard worker and public health and minimise environmental impacts, including requirements for plastic bags and containers used in segregation, storage and disposal of infectious and other clinical waste.</t>
        </is>
      </c>
      <c r="E23" s="2" t="n">
        <v>0</v>
      </c>
      <c r="F23" s="2" t="inlineStr"/>
      <c r="G23" s="3" t="n">
        <v>0.75</v>
      </c>
      <c r="H23" s="2" t="inlineStr">
        <is>
          <t>Executive decree approved by Council of Ministers, 18 February 2003, under Lei 20/97 Art. 33.</t>
        </is>
      </c>
      <c r="I23" s="3" t="n">
        <v>0.5</v>
      </c>
      <c r="J23" s="2" t="inlineStr">
        <is>
          <t>waste management, health, municipalities, industry, environment</t>
        </is>
      </c>
      <c r="K23" s="3" t="n">
        <v>0.5</v>
      </c>
      <c r="L23" s="2" t="inlineStr">
        <is>
          <t>consumption, disposal</t>
        </is>
      </c>
      <c r="M23" s="3" t="n">
        <v>0</v>
      </c>
      <c r="N23" s="2" t="inlineStr"/>
      <c r="O23" s="3">
        <f>AVERAGE(G23,I23,K23,M23,P23)</f>
        <v/>
      </c>
      <c r="P23" s="3" t="n">
        <v>1</v>
      </c>
      <c r="Q23" s="2" t="inlineStr">
        <is>
          <t>Disposal</t>
        </is>
      </c>
      <c r="R23" s="2" t="inlineStr">
        <is>
          <t>Art. 10–11: Sharps/cutting waste stored in rigid containers; pharmaceutical waste in rigid or recycled plastic pharmaceutical containers with specific colour coding.</t>
        </is>
      </c>
      <c r="S23" s="3" t="n">
        <v>1</v>
      </c>
      <c r="T23" s="3" t="n">
        <v>0.5</v>
      </c>
      <c r="U23" s="2" t="inlineStr">
        <is>
          <t>Rigid containers and recycled plastic pharmaceutical containers specified. Segregation and storage standards (+0.25 monitoring via identification system).</t>
        </is>
      </c>
      <c r="V23" s="3">
        <f>AVERAGE(P23,T23)</f>
        <v/>
      </c>
      <c r="W23" s="2" t="inlineStr">
        <is>
          <t>Plastic containers for sharps and pharmaceutical waste. Source: Colectânea de Legislação do Ambiente (FDUEM, Maputo 2020), user-uploaded PDF; policy URL not available.</t>
        </is>
      </c>
    </row>
    <row r="24">
      <c r="A24" s="2" t="inlineStr">
        <is>
          <t>Regulamento sobre a Gestão de Resíduos Biomédicos (Decreto n.º 8/2003, de 18 de Fevereiro)</t>
        </is>
      </c>
      <c r="B24" s="2" t="inlineStr">
        <is>
          <t>not available</t>
        </is>
      </c>
      <c r="C24" s="2" t="n">
        <v>2003</v>
      </c>
      <c r="D24" s="2" t="inlineStr">
        <is>
          <t>Establish rules for biomedical waste management to safeguard worker and public health and minimise environmental impacts, including requirements for plastic bags and containers used in segregation, storage and disposal of infectious and other clinical waste.</t>
        </is>
      </c>
      <c r="E24" s="2" t="n">
        <v>0</v>
      </c>
      <c r="F24" s="2" t="inlineStr"/>
      <c r="G24" s="3" t="n">
        <v>0.75</v>
      </c>
      <c r="H24" s="2" t="inlineStr">
        <is>
          <t>Executive decree approved by Council of Ministers, 18 February 2003, under Lei 20/97 Art. 33.</t>
        </is>
      </c>
      <c r="I24" s="3" t="n">
        <v>0.5</v>
      </c>
      <c r="J24" s="2" t="inlineStr">
        <is>
          <t>waste management, health, municipalities, industry, environment</t>
        </is>
      </c>
      <c r="K24" s="3" t="n">
        <v>0.5</v>
      </c>
      <c r="L24" s="2" t="inlineStr">
        <is>
          <t>consumption, disposal</t>
        </is>
      </c>
      <c r="M24" s="3" t="n">
        <v>0</v>
      </c>
      <c r="N24" s="2" t="inlineStr"/>
      <c r="O24" s="3">
        <f>AVERAGE(G24,I24,K24,M24,P24)</f>
        <v/>
      </c>
      <c r="P24" s="3" t="n">
        <v>0.2</v>
      </c>
      <c r="Q24" s="2" t="inlineStr">
        <is>
          <t>Waste management</t>
        </is>
      </c>
      <c r="R24" s="2" t="inlineStr">
        <is>
          <t>Arts. 5–6: Assigns responsibilities for biomedical waste management from generation to final disposal, including occupational health monitors in health units.</t>
        </is>
      </c>
      <c r="S24" s="3" t="n">
        <v>1</v>
      </c>
      <c r="T24" s="3" t="n">
        <v>0.5</v>
      </c>
      <c r="U24" s="2" t="inlineStr">
        <is>
          <t>Health Ministry and unit-level monitors designated (+0.25). Management plan and training requirements (+0.25 monitoring).</t>
        </is>
      </c>
      <c r="V24" s="3">
        <f>AVERAGE(P24,T24)</f>
        <v/>
      </c>
      <c r="W24" s="2" t="inlineStr">
        <is>
          <t>Governance framework for clinical waste including plastic packaging. Source: Colectânea de Legislação do Ambiente (FDUEM, Maputo 2020), user-uploaded PDF; policy URL not available.</t>
        </is>
      </c>
    </row>
    <row r="25">
      <c r="A25" s="2" t="inlineStr">
        <is>
          <t>Regulamento sobre Padrões de Qualidade Ambiental e de Emissão de Efluentes (Decreto n.º 18/2004, alterado pelo Decreto n.º 67/2010)</t>
        </is>
      </c>
      <c r="B25" s="2" t="inlineStr">
        <is>
          <t>not available</t>
        </is>
      </c>
      <c r="C25" s="2" t="n">
        <v>2010</v>
      </c>
      <c r="D25" s="2" t="inlineStr">
        <is>
          <t>Set national environmental quality and effluent/emission standards limiting pollutant releases from industrial sources including plastic production.</t>
        </is>
      </c>
      <c r="E25" s="2" t="n">
        <v>0</v>
      </c>
      <c r="F25" s="2" t="inlineStr"/>
      <c r="G25" s="3" t="n">
        <v>0.75</v>
      </c>
      <c r="H25" s="2" t="inlineStr">
        <is>
          <t>Executive decree (amended 2010 by Decreto 67/2010).</t>
        </is>
      </c>
      <c r="I25" s="3" t="n">
        <v>0.5</v>
      </c>
      <c r="J25" s="2" t="inlineStr">
        <is>
          <t>industry, environment, energy, transport, chemicals</t>
        </is>
      </c>
      <c r="K25" s="3" t="n">
        <v>0.5</v>
      </c>
      <c r="L25" s="2" t="inlineStr">
        <is>
          <t>production, disposal</t>
        </is>
      </c>
      <c r="M25" s="3" t="n">
        <v>0</v>
      </c>
      <c r="N25" s="2" t="inlineStr"/>
      <c r="O25" s="3">
        <f>AVERAGE(G25,I25,K25,M25,P25)</f>
        <v/>
      </c>
      <c r="P25" s="3" t="n">
        <v>1</v>
      </c>
      <c r="Q25" s="2" t="inlineStr">
        <is>
          <t>Production</t>
        </is>
      </c>
      <c r="R25" s="2" t="inlineStr">
        <is>
          <t>Establishes mandatory emission/effluent limits for air, water and mobile sources applicable to industrial plastic manufacturing facilities.</t>
        </is>
      </c>
      <c r="S25" s="3" t="n">
        <v>1</v>
      </c>
      <c r="T25" s="3" t="n">
        <v>0.75</v>
      </c>
      <c r="U25" s="2" t="inlineStr">
        <is>
          <t>Standards enforceable through environmental licensing; penalties for non-compliance under environmental law.</t>
        </is>
      </c>
      <c r="V25" s="3">
        <f>AVERAGE(P25,T25)</f>
        <v/>
      </c>
      <c r="W25" s="2" t="inlineStr">
        <is>
          <t>Indirect plastic relevance via industrial production controls. Source: Colectânea de Legislação do Ambiente (FDUEM, Maputo 2020), user-uploaded PDF; policy URL not available.</t>
        </is>
      </c>
    </row>
    <row r="26">
      <c r="A26" s="2" t="inlineStr">
        <is>
          <t>Regulamento para Prevenção da Poluição e Proteção do Ambiente Marinho e Costeiro (Decreto n.º 45/2006)</t>
        </is>
      </c>
      <c r="B26" s="2" t="inlineStr">
        <is>
          <t>not available</t>
        </is>
      </c>
      <c r="C26" s="2" t="n">
        <v>2006</v>
      </c>
      <c r="D26" s="2" t="inlineStr">
        <is>
          <t>Prevent, control and combat marine pollution from ships and land-based sources including plastic marine litter.</t>
        </is>
      </c>
      <c r="E26" s="2" t="n">
        <v>0</v>
      </c>
      <c r="F26" s="2" t="inlineStr"/>
      <c r="G26" s="3" t="n">
        <v>0.75</v>
      </c>
      <c r="H26" s="2" t="inlineStr">
        <is>
          <t>Executive decree, Council of Ministers, 30 November 2006.</t>
        </is>
      </c>
      <c r="I26" s="3" t="n">
        <v>0.5</v>
      </c>
      <c r="J26" s="2" t="inlineStr">
        <is>
          <t>fisheries, maritime, ports, environment, tourism, municipalities</t>
        </is>
      </c>
      <c r="K26" s="3" t="n">
        <v>0.5</v>
      </c>
      <c r="L26" s="2" t="inlineStr">
        <is>
          <t>disposal, environmental leakage</t>
        </is>
      </c>
      <c r="M26" s="3" t="n">
        <v>0</v>
      </c>
      <c r="N26" s="2" t="inlineStr"/>
      <c r="O26" s="3">
        <f>AVERAGE(G26,I26,K26,M26,P26)</f>
        <v/>
      </c>
      <c r="P26" s="3" t="n">
        <v>1</v>
      </c>
      <c r="Q26" s="2" t="inlineStr">
        <is>
          <t>Environmental leakage</t>
        </is>
      </c>
      <c r="R26" s="2" t="inlineStr">
        <is>
          <t>Requires measures to prevent marine pollution from land-based sources and ships; packaging requirements for hazardous substances discharged to sea.</t>
        </is>
      </c>
      <c r="S26" s="3" t="n">
        <v>1</v>
      </c>
      <c r="T26" s="3" t="n">
        <v>0.5</v>
      </c>
      <c r="U26" s="2" t="inlineStr">
        <is>
          <t>Compensation for pollution required; enforcement via maritime authorities.</t>
        </is>
      </c>
      <c r="V26" s="3">
        <f>AVERAGE(P26,T26)</f>
        <v/>
      </c>
      <c r="W26" s="2" t="inlineStr">
        <is>
          <t>Addresses marine plastic leakage pathway. Source: Colectânea de Legislação do Ambiente (FDUEM, Maputo 2020), user-uploaded PDF; policy URL not available.</t>
        </is>
      </c>
    </row>
    <row r="27">
      <c r="A27" s="2" t="inlineStr">
        <is>
          <t>Regulamento sobre o Processo de Auditoria Ambiental (Decreto n.º 25/2011, de 15 de Junho)</t>
        </is>
      </c>
      <c r="B27" s="2" t="inlineStr">
        <is>
          <t>not available</t>
        </is>
      </c>
      <c r="C27" s="2" t="n">
        <v>2011</v>
      </c>
      <c r="D27" s="2" t="inlineStr">
        <is>
          <t>Regulate environmental audit processes as systematic management instruments for evaluating environmental control and protection systems, applicable to activities including industrial production and waste-generating facilities such as plastic manufacturing.</t>
        </is>
      </c>
      <c r="E27" s="2" t="n">
        <v>0</v>
      </c>
      <c r="F27" s="2" t="inlineStr"/>
      <c r="G27" s="3" t="n">
        <v>0.75</v>
      </c>
      <c r="H27" s="2" t="inlineStr">
        <is>
          <t>Executive decree approved by Council of Ministers, 15 June 2011, under Lei 20/97 Arts. 18 and 33.</t>
        </is>
      </c>
      <c r="I27" s="3" t="n">
        <v>0.5</v>
      </c>
      <c r="J27" s="2" t="inlineStr">
        <is>
          <t>industry, environment, waste management, municipalities, production</t>
        </is>
      </c>
      <c r="K27" s="3" t="n">
        <v>0.5</v>
      </c>
      <c r="L27" s="2" t="inlineStr">
        <is>
          <t>production, disposal</t>
        </is>
      </c>
      <c r="M27" s="3" t="n">
        <v>0</v>
      </c>
      <c r="N27" s="2" t="inlineStr"/>
      <c r="O27" s="3">
        <f>AVERAGE(G27,I27,K27,M27,P27)</f>
        <v/>
      </c>
      <c r="P27" s="3" t="n">
        <v>1</v>
      </c>
      <c r="Q27" s="2" t="inlineStr">
        <is>
          <t>Production</t>
        </is>
      </c>
      <c r="R27" s="2" t="inlineStr">
        <is>
          <t>Art. 4: Environmental audit object includes pollution control equipment, conformity with environmental norms, effective/potential pollution levels, and corrective measures for activities during implementation, deactivation and restoration.</t>
        </is>
      </c>
      <c r="S27" s="3" t="n">
        <v>1</v>
      </c>
      <c r="T27" s="3" t="n">
        <v>0.5</v>
      </c>
      <c r="U27" s="2" t="inlineStr">
        <is>
          <t>Mandatory audit scope defined (+0.25). Environment Ministry conducts public audits; entities may conduct private audits (+0.25 authority). Corrective action and reporting requirements in subsequent articles (+0.25 monitoring).</t>
        </is>
      </c>
      <c r="V27" s="3">
        <f>AVERAGE(P27,T27)</f>
        <v/>
      </c>
      <c r="W27" s="2" t="inlineStr">
        <is>
          <t>Applies to plastic production facilities and waste management operations. Source: Colectânea de Legislação do Ambiente (FDUEM, Maputo 2020), user-uploaded PDF; policy URL not available.</t>
        </is>
      </c>
    </row>
    <row r="28">
      <c r="A28" s="2" t="inlineStr">
        <is>
          <t>Regulamento sobre o Processo de Auditoria Ambiental (Decreto n.º 25/2011, de 15 de Junho)</t>
        </is>
      </c>
      <c r="B28" s="2" t="inlineStr">
        <is>
          <t>not available</t>
        </is>
      </c>
      <c r="C28" s="2" t="n">
        <v>2011</v>
      </c>
      <c r="D28" s="2" t="inlineStr">
        <is>
          <t>Regulate environmental audit processes as systematic management instruments for evaluating environmental control and protection systems, applicable to activities including industrial production and waste-generating facilities such as plastic manufacturing.</t>
        </is>
      </c>
      <c r="E28" s="2" t="n">
        <v>0</v>
      </c>
      <c r="F28" s="2" t="inlineStr"/>
      <c r="G28" s="3" t="n">
        <v>0.75</v>
      </c>
      <c r="H28" s="2" t="inlineStr">
        <is>
          <t>Executive decree approved by Council of Ministers, 15 June 2011, under Lei 20/97 Arts. 18 and 33.</t>
        </is>
      </c>
      <c r="I28" s="3" t="n">
        <v>0.5</v>
      </c>
      <c r="J28" s="2" t="inlineStr">
        <is>
          <t>industry, environment, waste management, municipalities, production</t>
        </is>
      </c>
      <c r="K28" s="3" t="n">
        <v>0.5</v>
      </c>
      <c r="L28" s="2" t="inlineStr">
        <is>
          <t>production, disposal</t>
        </is>
      </c>
      <c r="M28" s="3" t="n">
        <v>0</v>
      </c>
      <c r="N28" s="2" t="inlineStr"/>
      <c r="O28" s="3">
        <f>AVERAGE(G28,I28,K28,M28,P28)</f>
        <v/>
      </c>
      <c r="P28" s="3" t="n">
        <v>0.2</v>
      </c>
      <c r="Q28" s="2" t="inlineStr">
        <is>
          <t>Production</t>
        </is>
      </c>
      <c r="R28" s="2" t="inlineStr">
        <is>
          <t>Decreto Art. 2: Environment Minister shall approve general and specific directives on environmental auditing and implementation norms.</t>
        </is>
      </c>
      <c r="S28" s="3" t="n">
        <v>0</v>
      </c>
      <c r="T28" s="3" t="n">
        <v>0.25</v>
      </c>
      <c r="U28" s="2" t="inlineStr">
        <is>
          <t>'Compete ao Ministro... aprovar as directivas gerais e específicas sobre a auditoria ambiental.' Enabling power for subordinate directives.</t>
        </is>
      </c>
      <c r="V28" s="3">
        <f>AVERAGE(P28,T28)</f>
        <v/>
      </c>
      <c r="W28" s="2" t="inlineStr">
        <is>
          <t>Enabling instrument; directives may operationalise audit requirements. Source: Colectânea de Legislação do Ambiente (FDUEM, Maputo 2020), user-uploaded PDF; policy URL not available.</t>
        </is>
      </c>
    </row>
    <row r="29">
      <c r="A29" s="2" t="inlineStr">
        <is>
          <t>Regulamento sobre a Gestão de Resíduos Perigosos (Decreto n.º 83/2014)</t>
        </is>
      </c>
      <c r="B29" s="2" t="inlineStr">
        <is>
          <t>not available</t>
        </is>
      </c>
      <c r="C29" s="2" t="n">
        <v>2014</v>
      </c>
      <c r="D29" s="2" t="inlineStr">
        <is>
          <t>Regulate safe management of hazardous wastes including contaminated plastic packaging from pesticides and chemicals.</t>
        </is>
      </c>
      <c r="E29" s="2" t="n">
        <v>0</v>
      </c>
      <c r="F29" s="2" t="inlineStr"/>
      <c r="G29" s="3" t="n">
        <v>0.75</v>
      </c>
      <c r="H29" s="2" t="inlineStr">
        <is>
          <t>Executive decree approved by Council of Ministers, 31 December 2014.</t>
        </is>
      </c>
      <c r="I29" s="3" t="n">
        <v>0.5</v>
      </c>
      <c r="J29" s="2" t="inlineStr">
        <is>
          <t>industry, agriculture, chemicals, waste management, municipalities, packaging</t>
        </is>
      </c>
      <c r="K29" s="3" t="n">
        <v>0.75</v>
      </c>
      <c r="L29" s="2" t="inlineStr">
        <is>
          <t>production, consumption, recycling, disposal</t>
        </is>
      </c>
      <c r="M29" s="3" t="n">
        <v>0</v>
      </c>
      <c r="N29" s="2" t="inlineStr"/>
      <c r="O29" s="3">
        <f>AVERAGE(G29,I29,K29,M29,P29)</f>
        <v/>
      </c>
      <c r="P29" s="3" t="n">
        <v>1</v>
      </c>
      <c r="Q29" s="2" t="inlineStr">
        <is>
          <t>Disposal</t>
        </is>
      </c>
      <c r="R29" s="2" t="inlineStr">
        <is>
          <t>Prohibits recycling of plastic packaging contaminated by agro-toxins/chemicals except below threshold in Annex IX; bans import of empty contaminated packaging.</t>
        </is>
      </c>
      <c r="S29" s="3" t="n">
        <v>1</v>
      </c>
      <c r="T29" s="3" t="n">
        <v>0.75</v>
      </c>
      <c r="U29" s="2" t="inlineStr">
        <is>
          <t>Explicit prohibitions; licensing for recycling; fines; extended producer responsibility principle in Art. 4(g).</t>
        </is>
      </c>
      <c r="V29" s="3">
        <f>AVERAGE(P29,T29)</f>
        <v/>
      </c>
      <c r="W29" s="2" t="inlineStr">
        <is>
          <t>Directly addresses plastic packaging waste streams. Source: Colectânea de Legislação do Ambiente (FDUEM, Maputo 2020), user-uploaded PDF; policy URL not available.</t>
        </is>
      </c>
    </row>
    <row r="30">
      <c r="A30" s="2" t="inlineStr">
        <is>
          <t>Regulamento sobre a Gestão de Resíduos Perigosos (Decreto n.º 83/2014)</t>
        </is>
      </c>
      <c r="B30" s="2" t="inlineStr">
        <is>
          <t>not available</t>
        </is>
      </c>
      <c r="C30" s="2" t="n">
        <v>2014</v>
      </c>
      <c r="D30" s="2" t="inlineStr">
        <is>
          <t>Regulate safe management of hazardous wastes including contaminated plastic packaging from pesticides and chemicals.</t>
        </is>
      </c>
      <c r="E30" s="2" t="n">
        <v>0</v>
      </c>
      <c r="F30" s="2" t="inlineStr"/>
      <c r="G30" s="3" t="n">
        <v>0.75</v>
      </c>
      <c r="H30" s="2" t="inlineStr">
        <is>
          <t>Executive decree approved by Council of Ministers, 31 December 2014.</t>
        </is>
      </c>
      <c r="I30" s="3" t="n">
        <v>0.5</v>
      </c>
      <c r="J30" s="2" t="inlineStr">
        <is>
          <t>industry, agriculture, chemicals, waste management, municipalities, packaging</t>
        </is>
      </c>
      <c r="K30" s="3" t="n">
        <v>0.75</v>
      </c>
      <c r="L30" s="2" t="inlineStr">
        <is>
          <t>production, consumption, recycling, disposal</t>
        </is>
      </c>
      <c r="M30" s="3" t="n">
        <v>0</v>
      </c>
      <c r="N30" s="2" t="inlineStr"/>
      <c r="O30" s="3">
        <f>AVERAGE(G30,I30,K30,M30,P30)</f>
        <v/>
      </c>
      <c r="P30" s="3" t="n">
        <v>1</v>
      </c>
      <c r="Q30" s="2" t="inlineStr">
        <is>
          <t>Recycling</t>
        </is>
      </c>
      <c r="R30" s="2" t="inlineStr">
        <is>
          <t>Requires importers/marketers of products whose packaging becomes hazardous waste to operate take-back and collection systems.</t>
        </is>
      </c>
      <c r="S30" s="3" t="n">
        <v>1</v>
      </c>
      <c r="T30" s="3" t="n">
        <v>0.5</v>
      </c>
      <c r="U30" s="2" t="inlineStr">
        <is>
          <t>Take-back obligation on market placers; treatment and disposal responsibility assigned.</t>
        </is>
      </c>
      <c r="V30" s="3">
        <f>AVERAGE(P30,T30)</f>
        <v/>
      </c>
      <c r="W30" s="2" t="inlineStr">
        <is>
          <t>EPR-type provision for hazardous packaging. Source: Colectânea de Legislação do Ambiente (FDUEM, Maputo 2020), user-uploaded PDF; policy URL not available.</t>
        </is>
      </c>
    </row>
    <row r="31">
      <c r="A31" s="2" t="inlineStr">
        <is>
          <t>Regulamento sobre a Gestão de Resíduos Sólidos Urbanos (Decreto n.º 94/2014)</t>
        </is>
      </c>
      <c r="B31" s="2" t="inlineStr">
        <is>
          <t>not available</t>
        </is>
      </c>
      <c r="C31" s="2" t="n">
        <v>2014</v>
      </c>
      <c r="D31" s="2" t="inlineStr">
        <is>
          <t>Establish national rules for urban solid waste management including segregation, collection, treatment, valorisation and landfill disposal, covering plastic fractions in municipal waste streams.</t>
        </is>
      </c>
      <c r="E31" s="2" t="n">
        <v>0</v>
      </c>
      <c r="F31" s="2" t="inlineStr"/>
      <c r="G31" s="3" t="n">
        <v>0.75</v>
      </c>
      <c r="H31" s="2" t="inlineStr">
        <is>
          <t>Executive decree (Decreto 94/2014) approved by Council of Ministers, 31 December 2014.</t>
        </is>
      </c>
      <c r="I31" s="3" t="n">
        <v>0.75</v>
      </c>
      <c r="J31" s="2" t="inlineStr">
        <is>
          <t>waste management, municipalities, industry, retail, recycling, public health, environment</t>
        </is>
      </c>
      <c r="K31" s="3" t="n">
        <v>1</v>
      </c>
      <c r="L31" s="2" t="inlineStr">
        <is>
          <t>production, consumption, recycling, disposal, environmental leakage</t>
        </is>
      </c>
      <c r="M31" s="3" t="n">
        <v>0.5</v>
      </c>
      <c r="N31" s="2" t="inlineStr">
        <is>
          <t>Art. 5(2)(e): Municipalities may fix fees/taxes for collection, transport, treatment and disposal services.</t>
        </is>
      </c>
      <c r="O31" s="3">
        <f>AVERAGE(G31,I31,K31,M31,P31)</f>
        <v/>
      </c>
      <c r="P31" s="3" t="n">
        <v>0.2</v>
      </c>
      <c r="Q31" s="2" t="inlineStr">
        <is>
          <t>Waste management</t>
        </is>
      </c>
      <c r="R31" s="2" t="inlineStr">
        <is>
          <t>Art. 5-6: Assigns national–municipal–district coordination; municipalities must ensure waste not dumped in beaches, sea, water bodies (plastic litter pathway).</t>
        </is>
      </c>
      <c r="S31" s="3" t="n">
        <v>1</v>
      </c>
      <c r="T31" s="3" t="n">
        <v>0.75</v>
      </c>
      <c r="U31" s="2" t="inlineStr">
        <is>
          <t>Penalties for municipal managers; monitoring by environment ministry; municipal obligations explicit.</t>
        </is>
      </c>
      <c r="V31" s="3">
        <f>AVERAGE(P31,T31)</f>
        <v/>
      </c>
      <c r="W31" s="2" t="inlineStr">
        <is>
          <t>Multi-level governance; directly addresses marine plastic leakage via Art. 6(a). Source: Colectânea de Legislação do Ambiente (FDUEM, Maputo 2020), user-uploaded PDF; policy URL not available.</t>
        </is>
      </c>
    </row>
    <row r="32">
      <c r="A32" s="2" t="inlineStr">
        <is>
          <t>Regulamento sobre a Gestão de Resíduos Sólidos Urbanos (Decreto n.º 94/2014)</t>
        </is>
      </c>
      <c r="B32" s="2" t="inlineStr">
        <is>
          <t>not available</t>
        </is>
      </c>
      <c r="C32" s="2" t="n">
        <v>2014</v>
      </c>
      <c r="D32" s="2" t="inlineStr">
        <is>
          <t>Establish national rules for urban solid waste management including segregation, collection, treatment, valorisation and landfill disposal, covering plastic fractions in municipal waste streams.</t>
        </is>
      </c>
      <c r="E32" s="2" t="n">
        <v>0</v>
      </c>
      <c r="F32" s="2" t="inlineStr"/>
      <c r="G32" s="3" t="n">
        <v>0.75</v>
      </c>
      <c r="H32" s="2" t="inlineStr">
        <is>
          <t>Executive decree (Decreto 94/2014) approved by Council of Ministers, 31 December 2014.</t>
        </is>
      </c>
      <c r="I32" s="3" t="n">
        <v>0.75</v>
      </c>
      <c r="J32" s="2" t="inlineStr">
        <is>
          <t>waste management, municipalities, industry, retail, recycling, public health, environment</t>
        </is>
      </c>
      <c r="K32" s="3" t="n">
        <v>1</v>
      </c>
      <c r="L32" s="2" t="inlineStr">
        <is>
          <t>production, consumption, recycling, disposal, environmental leakage</t>
        </is>
      </c>
      <c r="M32" s="3" t="n">
        <v>0.5</v>
      </c>
      <c r="N32" s="2" t="inlineStr">
        <is>
          <t>Art. 5(2)(e): Municipalities may fix fees/taxes for collection, transport, treatment and disposal services.</t>
        </is>
      </c>
      <c r="O32" s="3">
        <f>AVERAGE(G32,I32,K32,M32,P32)</f>
        <v/>
      </c>
      <c r="P32" s="3" t="n">
        <v>0.2</v>
      </c>
      <c r="Q32" s="2" t="inlineStr">
        <is>
          <t>Waste management</t>
        </is>
      </c>
      <c r="R32" s="2" t="inlineStr">
        <is>
          <t>Art. 8: Requires Integrated Urban Solid Waste Management Plans (PGIRSU) for all public/private waste management entities.</t>
        </is>
      </c>
      <c r="S32" s="3" t="n">
        <v>1</v>
      </c>
      <c r="T32" s="3" t="n">
        <v>0.5</v>
      </c>
      <c r="U32" s="2" t="inlineStr">
        <is>
          <t>Planning obligation; licensing linked to plans; ministry oversight.</t>
        </is>
      </c>
      <c r="V32" s="3">
        <f>AVERAGE(P32,T32)</f>
        <v/>
      </c>
      <c r="W32" s="2" t="inlineStr">
        <is>
          <t>Governance/planning instrument. Source: Colectânea de Legislação do Ambiente (FDUEM, Maputo 2020), user-uploaded PDF; policy URL not available.</t>
        </is>
      </c>
    </row>
    <row r="33">
      <c r="A33" s="2" t="inlineStr">
        <is>
          <t>Regulamento sobre a Gestão de Resíduos Sólidos Urbanos (Decreto n.º 94/2014)</t>
        </is>
      </c>
      <c r="B33" s="2" t="inlineStr">
        <is>
          <t>not available</t>
        </is>
      </c>
      <c r="C33" s="2" t="n">
        <v>2014</v>
      </c>
      <c r="D33" s="2" t="inlineStr">
        <is>
          <t>Establish national rules for urban solid waste management including segregation, collection, treatment, valorisation and landfill disposal, covering plastic fractions in municipal waste streams.</t>
        </is>
      </c>
      <c r="E33" s="2" t="n">
        <v>0</v>
      </c>
      <c r="F33" s="2" t="inlineStr"/>
      <c r="G33" s="3" t="n">
        <v>0.75</v>
      </c>
      <c r="H33" s="2" t="inlineStr">
        <is>
          <t>Executive decree (Decreto 94/2014) approved by Council of Ministers, 31 December 2014.</t>
        </is>
      </c>
      <c r="I33" s="3" t="n">
        <v>0.75</v>
      </c>
      <c r="J33" s="2" t="inlineStr">
        <is>
          <t>waste management, municipalities, industry, retail, recycling, public health, environment</t>
        </is>
      </c>
      <c r="K33" s="3" t="n">
        <v>1</v>
      </c>
      <c r="L33" s="2" t="inlineStr">
        <is>
          <t>production, consumption, recycling, disposal, environmental leakage</t>
        </is>
      </c>
      <c r="M33" s="3" t="n">
        <v>0.5</v>
      </c>
      <c r="N33" s="2" t="inlineStr">
        <is>
          <t>Art. 5(2)(e): Municipalities may fix fees/taxes for collection, transport, treatment and disposal services.</t>
        </is>
      </c>
      <c r="O33" s="3">
        <f>AVERAGE(G33,I33,K33,M33,P33)</f>
        <v/>
      </c>
      <c r="P33" s="3" t="n">
        <v>1</v>
      </c>
      <c r="Q33" s="2" t="inlineStr">
        <is>
          <t>Recycling</t>
        </is>
      </c>
      <c r="R33" s="2" t="inlineStr">
        <is>
          <t>Art. 4(d): Waste hierarchy — prevention, reuse, recycling, other recovery, disposal; Art. 7: segregation at source for recycling including plastics.</t>
        </is>
      </c>
      <c r="S33" s="3" t="n">
        <v>1</v>
      </c>
      <c r="T33" s="3" t="n">
        <v>0.5</v>
      </c>
      <c r="U33" s="2" t="inlineStr">
        <is>
          <t>Hierarchy mandatory; selective collection promoted; enforcement via municipal regulations and penalties.</t>
        </is>
      </c>
      <c r="V33" s="3">
        <f>AVERAGE(P33,T33)</f>
        <v/>
      </c>
      <c r="W33" s="2" t="inlineStr">
        <is>
          <t>Source: Colectânea de Legislação do Ambiente (FDUEM, Maputo 2020), user-uploaded PDF; policy URL not available.</t>
        </is>
      </c>
    </row>
    <row r="34">
      <c r="A34" s="2" t="inlineStr">
        <is>
          <t>Regulamento sobre a Gestão de Resíduos Sólidos Urbanos (Decreto n.º 94/2014)</t>
        </is>
      </c>
      <c r="B34" s="2" t="inlineStr">
        <is>
          <t>not available</t>
        </is>
      </c>
      <c r="C34" s="2" t="n">
        <v>2014</v>
      </c>
      <c r="D34" s="2" t="inlineStr">
        <is>
          <t>Establish national rules for urban solid waste management including segregation, collection, treatment, valorisation and landfill disposal, covering plastic fractions in municipal waste streams.</t>
        </is>
      </c>
      <c r="E34" s="2" t="n">
        <v>0</v>
      </c>
      <c r="F34" s="2" t="inlineStr"/>
      <c r="G34" s="3" t="n">
        <v>0.75</v>
      </c>
      <c r="H34" s="2" t="inlineStr">
        <is>
          <t>Executive decree (Decreto 94/2014) approved by Council of Ministers, 31 December 2014.</t>
        </is>
      </c>
      <c r="I34" s="3" t="n">
        <v>0.75</v>
      </c>
      <c r="J34" s="2" t="inlineStr">
        <is>
          <t>waste management, municipalities, industry, retail, recycling, public health, environment</t>
        </is>
      </c>
      <c r="K34" s="3" t="n">
        <v>1</v>
      </c>
      <c r="L34" s="2" t="inlineStr">
        <is>
          <t>production, consumption, recycling, disposal, environmental leakage</t>
        </is>
      </c>
      <c r="M34" s="3" t="n">
        <v>0.5</v>
      </c>
      <c r="N34" s="2" t="inlineStr">
        <is>
          <t>Art. 5(2)(e): Municipalities may fix fees/taxes for collection, transport, treatment and disposal services.</t>
        </is>
      </c>
      <c r="O34" s="3">
        <f>AVERAGE(G34,I34,K34,M34,P34)</f>
        <v/>
      </c>
      <c r="P34" s="3" t="n">
        <v>0.6</v>
      </c>
      <c r="Q34" s="2" t="inlineStr">
        <is>
          <t>Waste management</t>
        </is>
      </c>
      <c r="R34" s="2" t="inlineStr">
        <is>
          <t>Art. 5(2)(e): Municipalities authorised to set fees for waste collection/treatment/disposal services.</t>
        </is>
      </c>
      <c r="S34" s="3" t="n">
        <v>1</v>
      </c>
      <c r="T34" s="3" t="n">
        <v>0.25</v>
      </c>
      <c r="U34" s="2" t="inlineStr">
        <is>
          <t>Fee-setting power delegated to municipalities; not unconditional national levy.</t>
        </is>
      </c>
      <c r="V34" s="3">
        <f>AVERAGE(P34,T34)</f>
        <v/>
      </c>
      <c r="W34" s="2" t="inlineStr">
        <is>
          <t>Economic instrument at municipal level. Source: Colectânea de Legislação do Ambiente (FDUEM, Maputo 2020), user-uploaded PDF; policy URL not available.</t>
        </is>
      </c>
    </row>
    <row r="35">
      <c r="A35" s="2" t="inlineStr">
        <is>
          <t>Regulamento sobre a Gestão e Controlo do Saco de Plástico (Decreto n.º 16/2015, de 5 de Agosto)</t>
        </is>
      </c>
      <c r="B35" s="2" t="inlineStr">
        <is>
          <t>not available</t>
        </is>
      </c>
      <c r="C35" s="2" t="n">
        <v>2015</v>
      </c>
      <c r="D35"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5" s="2" t="n">
        <v>0</v>
      </c>
      <c r="F35" s="2" t="inlineStr"/>
      <c r="G35" s="3" t="n">
        <v>0.75</v>
      </c>
      <c r="H35" s="2" t="inlineStr">
        <is>
          <t>Executive decree (Decreto n.º 16/2015) approved by the Council of Ministers on 30 June 2015 and published 5 August 2015, under Lei 20/97 Art. 33 and Constitution Art. 204. Sub-legislative instrument, not parliamentary legislation.</t>
        </is>
      </c>
      <c r="I35" s="3" t="n">
        <v>0.75</v>
      </c>
      <c r="J35" s="2" t="inlineStr">
        <is>
          <t>production, consumption, retail, waste management, industry, municipalities, packaging, fisheries</t>
        </is>
      </c>
      <c r="K35" s="3" t="n">
        <v>0.75</v>
      </c>
      <c r="L35" s="2" t="inlineStr">
        <is>
          <t>production, consumption, recycling, disposal</t>
        </is>
      </c>
      <c r="M35" s="3" t="n">
        <v>1</v>
      </c>
      <c r="N35"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5" s="3">
        <f>AVERAGE(G35,I35,K35,M35,P35)</f>
        <v/>
      </c>
      <c r="P35" s="3" t="n">
        <v>1</v>
      </c>
      <c r="Q35" s="2" t="inlineStr">
        <is>
          <t>Production</t>
        </is>
      </c>
      <c r="R35" s="2" t="inlineStr">
        <is>
          <t>Art. 4(1)(a): Prohibits production, import, and wholesale or retail marketing of plastic bags with thickness below 30 micrometres. Exceptions: bags for weighing food products; bags for conditioning municipal solid waste; bags produced in export free zones (Art. 4(2)–(3)).</t>
        </is>
      </c>
      <c r="S35" s="3" t="n">
        <v>1</v>
      </c>
      <c r="T35" s="3" t="n">
        <v>0.75</v>
      </c>
      <c r="U35" s="2" t="inlineStr">
        <is>
          <t>'é proibida... saco de plástico cuja espessura seja inferior a 30 micrómetros.' Fines: production 40, import 80, retail/wholesale 50 minimum wages (Art. 7). Authorities: MAAP, Finance, Industry, INAE, municipalities (Art. 6). Exemptions for food-weighing and municipal waste bags reduce unconditional score.</t>
        </is>
      </c>
      <c r="V35" s="3">
        <f>AVERAGE(P35,T35)</f>
        <v/>
      </c>
      <c r="W35" s="2" t="inlineStr">
        <is>
          <t>Core plastic-bag regulatory instrument. Decreto Art. 3(2): production/import prohibitions for in-process applications enter force 180 days after publication (February 2016). Explicit plastics mention (filter criterion a). Source: Colectânea de Legislação do Ambiente (FDUEM, Maputo 2020), user-uploaded PDF; policy URL not available.</t>
        </is>
      </c>
    </row>
    <row r="36">
      <c r="A36" s="2" t="inlineStr">
        <is>
          <t>Regulamento sobre a Gestão e Controlo do Saco de Plástico (Decreto n.º 16/2015, de 5 de Agosto)</t>
        </is>
      </c>
      <c r="B36" s="2" t="inlineStr">
        <is>
          <t>not available</t>
        </is>
      </c>
      <c r="C36" s="2" t="n">
        <v>2015</v>
      </c>
      <c r="D36"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6" s="2" t="n">
        <v>0</v>
      </c>
      <c r="F36" s="2" t="inlineStr"/>
      <c r="G36" s="3" t="n">
        <v>0.75</v>
      </c>
      <c r="H36" s="2" t="inlineStr">
        <is>
          <t>Executive decree (Decreto n.º 16/2015) approved by the Council of Ministers on 30 June 2015 and published 5 August 2015, under Lei 20/97 Art. 33 and Constitution Art. 204. Sub-legislative instrument, not parliamentary legislation.</t>
        </is>
      </c>
      <c r="I36" s="3" t="n">
        <v>0.75</v>
      </c>
      <c r="J36" s="2" t="inlineStr">
        <is>
          <t>production, consumption, retail, waste management, industry, municipalities, packaging, fisheries</t>
        </is>
      </c>
      <c r="K36" s="3" t="n">
        <v>0.75</v>
      </c>
      <c r="L36" s="2" t="inlineStr">
        <is>
          <t>production, consumption, recycling, disposal</t>
        </is>
      </c>
      <c r="M36" s="3" t="n">
        <v>1</v>
      </c>
      <c r="N36"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6" s="3">
        <f>AVERAGE(G36,I36,K36,M36,P36)</f>
        <v/>
      </c>
      <c r="P36" s="3" t="n">
        <v>1</v>
      </c>
      <c r="Q36" s="2" t="inlineStr">
        <is>
          <t>Consumption</t>
        </is>
      </c>
      <c r="R36" s="2" t="inlineStr">
        <is>
          <t>Art. 4(1)(b): Prohibits free distribution of plastic bags at all premises where commercial activity is exercised.</t>
        </is>
      </c>
      <c r="S36" s="3" t="n">
        <v>1</v>
      </c>
      <c r="T36" s="3" t="n">
        <v>0.75</v>
      </c>
      <c r="U36" s="2" t="inlineStr">
        <is>
          <t>'é proibida... A distribuição gratuita de saco de plástico em todos os locais onde se exerça a actividade comercial.' Fine: 25 minimum wages (Art. 7(d)). INAE and municipalities responsible for fiscalization (Art. 6).</t>
        </is>
      </c>
      <c r="V36" s="3">
        <f>AVERAGE(P36,T36)</f>
        <v/>
      </c>
      <c r="W36" s="2" t="inlineStr">
        <is>
          <t>Mandatory prohibition language; directly reduces single-use bag consumption. Source: Colectânea de Legislação do Ambiente (FDUEM, Maputo 2020), user-uploaded PDF; policy URL not available.</t>
        </is>
      </c>
    </row>
    <row r="37">
      <c r="A37" s="2" t="inlineStr">
        <is>
          <t>Regulamento sobre a Gestão e Controlo do Saco de Plástico (Decreto n.º 16/2015, de 5 de Agosto)</t>
        </is>
      </c>
      <c r="B37" s="2" t="inlineStr">
        <is>
          <t>not available</t>
        </is>
      </c>
      <c r="C37" s="2" t="n">
        <v>2015</v>
      </c>
      <c r="D37"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7" s="2" t="n">
        <v>0</v>
      </c>
      <c r="F37" s="2" t="inlineStr"/>
      <c r="G37" s="3" t="n">
        <v>0.75</v>
      </c>
      <c r="H37" s="2" t="inlineStr">
        <is>
          <t>Executive decree (Decreto n.º 16/2015) approved by the Council of Ministers on 30 June 2015 and published 5 August 2015, under Lei 20/97 Art. 33 and Constitution Art. 204. Sub-legislative instrument, not parliamentary legislation.</t>
        </is>
      </c>
      <c r="I37" s="3" t="n">
        <v>0.75</v>
      </c>
      <c r="J37" s="2" t="inlineStr">
        <is>
          <t>production, consumption, retail, waste management, industry, municipalities, packaging, fisheries</t>
        </is>
      </c>
      <c r="K37" s="3" t="n">
        <v>0.75</v>
      </c>
      <c r="L37" s="2" t="inlineStr">
        <is>
          <t>production, consumption, recycling, disposal</t>
        </is>
      </c>
      <c r="M37" s="3" t="n">
        <v>1</v>
      </c>
      <c r="N37"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7" s="3">
        <f>AVERAGE(G37,I37,K37,M37,P37)</f>
        <v/>
      </c>
      <c r="P37" s="3" t="n">
        <v>1</v>
      </c>
      <c r="Q37" s="2" t="inlineStr">
        <is>
          <t>Consumption</t>
        </is>
      </c>
      <c r="R37" s="2" t="inlineStr">
        <is>
          <t>Art. 4(1)(c) &amp; Art. 5(2): Prohibits marketing or distribution of plastic bags containing more than 40% recycled material in establishments selling food products; food retailers must ensure bags do not exceed 40% recycled content.</t>
        </is>
      </c>
      <c r="S37" s="3" t="n">
        <v>1</v>
      </c>
      <c r="T37" s="3" t="n">
        <v>0.75</v>
      </c>
      <c r="U37" s="2" t="inlineStr">
        <is>
          <t>'é proibida... saco de plástico que contenham acima de 40% de material reciclado em estabelecimentos que comercializem produtos alimentares.' Fine: 60 minimum wages (Art. 7(f)). Labelling must indicate recycled percentage (Art. 5(4)).</t>
        </is>
      </c>
      <c r="V37" s="3">
        <f>AVERAGE(P37,T37)</f>
        <v/>
      </c>
      <c r="W37" s="2" t="inlineStr">
        <is>
          <t>Recycled-content standard with food-safety rationale. Arts. 4 and 5 coded as one instrument (prohibition + compliance duty). Source: Colectânea de Legislação do Ambiente (FDUEM, Maputo 2020), user-uploaded PDF; policy URL not available.</t>
        </is>
      </c>
    </row>
    <row r="38">
      <c r="A38" s="2" t="inlineStr">
        <is>
          <t>Regulamento sobre a Gestão e Controlo do Saco de Plástico (Decreto n.º 16/2015, de 5 de Agosto)</t>
        </is>
      </c>
      <c r="B38" s="2" t="inlineStr">
        <is>
          <t>not available</t>
        </is>
      </c>
      <c r="C38" s="2" t="n">
        <v>2015</v>
      </c>
      <c r="D38"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8" s="2" t="n">
        <v>0</v>
      </c>
      <c r="F38" s="2" t="inlineStr"/>
      <c r="G38" s="3" t="n">
        <v>0.75</v>
      </c>
      <c r="H38" s="2" t="inlineStr">
        <is>
          <t>Executive decree (Decreto n.º 16/2015) approved by the Council of Ministers on 30 June 2015 and published 5 August 2015, under Lei 20/97 Art. 33 and Constitution Art. 204. Sub-legislative instrument, not parliamentary legislation.</t>
        </is>
      </c>
      <c r="I38" s="3" t="n">
        <v>0.75</v>
      </c>
      <c r="J38" s="2" t="inlineStr">
        <is>
          <t>production, consumption, retail, waste management, industry, municipalities, packaging, fisheries</t>
        </is>
      </c>
      <c r="K38" s="3" t="n">
        <v>0.75</v>
      </c>
      <c r="L38" s="2" t="inlineStr">
        <is>
          <t>production, consumption, recycling, disposal</t>
        </is>
      </c>
      <c r="M38" s="3" t="n">
        <v>1</v>
      </c>
      <c r="N38"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8" s="3">
        <f>AVERAGE(G38,I38,K38,M38,P38)</f>
        <v/>
      </c>
      <c r="P38" s="3" t="n">
        <v>1</v>
      </c>
      <c r="Q38" s="2" t="inlineStr">
        <is>
          <t>Production</t>
        </is>
      </c>
      <c r="R38" s="2" t="inlineStr">
        <is>
          <t>Art. 5(1): Production and import of plastic bags must comply with Mozambican Standard NM 596.</t>
        </is>
      </c>
      <c r="S38" s="3" t="n">
        <v>1</v>
      </c>
      <c r="T38" s="3" t="n">
        <v>0.5</v>
      </c>
      <c r="U38" s="2" t="inlineStr">
        <is>
          <t>'A produção e importação do saco de plástico deve estar em conformidade com a Norma Moçambicana NM 596.' Industry Ministry licenses production (Art. 6(3)); INAE fiscalizes (Art. 6(4)); MAAP monitors (Art. 6(1)(b)).</t>
        </is>
      </c>
      <c r="V38" s="3">
        <f>AVERAGE(P38,T38)</f>
        <v/>
      </c>
      <c r="W38" s="2" t="inlineStr">
        <is>
          <t>Mandatory technology/performance standard for plastic bag production. Source: Colectânea de Legislação do Ambiente (FDUEM, Maputo 2020), user-uploaded PDF; policy URL not available.</t>
        </is>
      </c>
    </row>
    <row r="39">
      <c r="A39" s="2" t="inlineStr">
        <is>
          <t>Regulamento sobre a Gestão e Controlo do Saco de Plástico (Decreto n.º 16/2015, de 5 de Agosto)</t>
        </is>
      </c>
      <c r="B39" s="2" t="inlineStr">
        <is>
          <t>not available</t>
        </is>
      </c>
      <c r="C39" s="2" t="n">
        <v>2015</v>
      </c>
      <c r="D39"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9" s="2" t="n">
        <v>0</v>
      </c>
      <c r="F39" s="2" t="inlineStr"/>
      <c r="G39" s="3" t="n">
        <v>0.75</v>
      </c>
      <c r="H39" s="2" t="inlineStr">
        <is>
          <t>Executive decree (Decreto n.º 16/2015) approved by the Council of Ministers on 30 June 2015 and published 5 August 2015, under Lei 20/97 Art. 33 and Constitution Art. 204. Sub-legislative instrument, not parliamentary legislation.</t>
        </is>
      </c>
      <c r="I39" s="3" t="n">
        <v>0.75</v>
      </c>
      <c r="J39" s="2" t="inlineStr">
        <is>
          <t>production, consumption, retail, waste management, industry, municipalities, packaging, fisheries</t>
        </is>
      </c>
      <c r="K39" s="3" t="n">
        <v>0.75</v>
      </c>
      <c r="L39" s="2" t="inlineStr">
        <is>
          <t>production, consumption, recycling, disposal</t>
        </is>
      </c>
      <c r="M39" s="3" t="n">
        <v>1</v>
      </c>
      <c r="N39"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9" s="3">
        <f>AVERAGE(G39,I39,K39,M39,P39)</f>
        <v/>
      </c>
      <c r="P39" s="3" t="n">
        <v>1</v>
      </c>
      <c r="Q39" s="2" t="inlineStr">
        <is>
          <t>Production</t>
        </is>
      </c>
      <c r="R39" s="2" t="inlineStr">
        <is>
          <t>Art. 5(4): Producers must label plastic bags with company name/logo, physical address, product characteristics (volume, material, plastic symbol, thickness, and recycled percentage if applicable).</t>
        </is>
      </c>
      <c r="S39" s="3" t="n">
        <v>1</v>
      </c>
      <c r="T39" s="3" t="n">
        <v>0.5</v>
      </c>
      <c r="U39" s="2" t="inlineStr">
        <is>
          <t>'o produtor deve rotular o saco de plástico produzido' with mandatory indications listed. INAE fiscalizes production (Art. 6(4)); MAAP monitors compliance (Art. 6(1)(b)). No specific fine listed in Art. 7 for labelling violations.</t>
        </is>
      </c>
      <c r="V39" s="3">
        <f>AVERAGE(P39,T39)</f>
        <v/>
      </c>
      <c r="W39" s="2" t="inlineStr">
        <is>
          <t>Labelling scheme; also supports Information instrument type but Regulatory scored as mandatory standard (Rule 10: highest type). Source: Colectânea de Legislação do Ambiente (FDUEM, Maputo 2020), user-uploaded PDF; policy URL not available.</t>
        </is>
      </c>
    </row>
    <row r="40">
      <c r="A40" s="2" t="inlineStr">
        <is>
          <t>Regulamento sobre a Gestão e Controlo do Saco de Plástico (Decreto n.º 16/2015, de 5 de Agosto)</t>
        </is>
      </c>
      <c r="B40" s="2" t="inlineStr">
        <is>
          <t>not available</t>
        </is>
      </c>
      <c r="C40" s="2" t="n">
        <v>2015</v>
      </c>
      <c r="D40"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0" s="2" t="n">
        <v>0</v>
      </c>
      <c r="F40" s="2" t="inlineStr"/>
      <c r="G40" s="3" t="n">
        <v>0.75</v>
      </c>
      <c r="H40" s="2" t="inlineStr">
        <is>
          <t>Executive decree (Decreto n.º 16/2015) approved by the Council of Ministers on 30 June 2015 and published 5 August 2015, under Lei 20/97 Art. 33 and Constitution Art. 204. Sub-legislative instrument, not parliamentary legislation.</t>
        </is>
      </c>
      <c r="I40" s="3" t="n">
        <v>0.75</v>
      </c>
      <c r="J40" s="2" t="inlineStr">
        <is>
          <t>production, consumption, retail, waste management, industry, municipalities, packaging, fisheries</t>
        </is>
      </c>
      <c r="K40" s="3" t="n">
        <v>0.75</v>
      </c>
      <c r="L40" s="2" t="inlineStr">
        <is>
          <t>production, consumption, recycling, disposal</t>
        </is>
      </c>
      <c r="M40" s="3" t="n">
        <v>1</v>
      </c>
      <c r="N40"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0" s="3">
        <f>AVERAGE(G40,I40,K40,M40,P40)</f>
        <v/>
      </c>
      <c r="P40" s="3" t="n">
        <v>1</v>
      </c>
      <c r="Q40" s="2" t="inlineStr">
        <is>
          <t>Consumption</t>
        </is>
      </c>
      <c r="R40" s="2" t="inlineStr">
        <is>
          <t>Art. 5(4) (final paragraph): Mandatory separate display of the price of plastic bags relative to product prices at all commercial establishments.</t>
        </is>
      </c>
      <c r="S40" s="3" t="n">
        <v>1</v>
      </c>
      <c r="T40" s="3" t="n">
        <v>0.75</v>
      </c>
      <c r="U40" s="2" t="inlineStr">
        <is>
          <t>'É de carácter obrigatório a indicação, em separado, o preço do saco de plástico relativamente ao preço dos produtos.' Fine: 30 minimum wages (Art. 7(e)). INAE inspection (Art. 6(4)).</t>
        </is>
      </c>
      <c r="V40" s="3">
        <f>AVERAGE(P40,T40)</f>
        <v/>
      </c>
      <c r="W40" s="2" t="inlineStr">
        <is>
          <t>Economic disincentive through price transparency at point of sale. Source: Colectânea de Legislação do Ambiente (FDUEM, Maputo 2020), user-uploaded PDF; policy URL not available.</t>
        </is>
      </c>
    </row>
    <row r="41">
      <c r="A41" s="2" t="inlineStr">
        <is>
          <t>Regulamento sobre a Gestão e Controlo do Saco de Plástico (Decreto n.º 16/2015, de 5 de Agosto)</t>
        </is>
      </c>
      <c r="B41" s="2" t="inlineStr">
        <is>
          <t>not available</t>
        </is>
      </c>
      <c r="C41" s="2" t="n">
        <v>2015</v>
      </c>
      <c r="D41"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1" s="2" t="n">
        <v>0</v>
      </c>
      <c r="F41" s="2" t="inlineStr"/>
      <c r="G41" s="3" t="n">
        <v>0.75</v>
      </c>
      <c r="H41" s="2" t="inlineStr">
        <is>
          <t>Executive decree (Decreto n.º 16/2015) approved by the Council of Ministers on 30 June 2015 and published 5 August 2015, under Lei 20/97 Art. 33 and Constitution Art. 204. Sub-legislative instrument, not parliamentary legislation.</t>
        </is>
      </c>
      <c r="I41" s="3" t="n">
        <v>0.75</v>
      </c>
      <c r="J41" s="2" t="inlineStr">
        <is>
          <t>production, consumption, retail, waste management, industry, municipalities, packaging, fisheries</t>
        </is>
      </c>
      <c r="K41" s="3" t="n">
        <v>0.75</v>
      </c>
      <c r="L41" s="2" t="inlineStr">
        <is>
          <t>production, consumption, recycling, disposal</t>
        </is>
      </c>
      <c r="M41" s="3" t="n">
        <v>1</v>
      </c>
      <c r="N41"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1" s="3">
        <f>AVERAGE(G41,I41,K41,M41,P41)</f>
        <v/>
      </c>
      <c r="P41" s="3" t="n">
        <v>0.2</v>
      </c>
      <c r="Q41" s="2" t="inlineStr">
        <is>
          <t>Waste management</t>
        </is>
      </c>
      <c r="R41" s="2" t="inlineStr">
        <is>
          <t>Art. 6(1): Environment Ministry (MAAP) shall disseminate compliance rules, monitor regulation compliance, adopt measures to reduce plastic bag use and identify sustainable alternatives, and ensure environmental norms in production.</t>
        </is>
      </c>
      <c r="S41" s="3" t="n">
        <v>1</v>
      </c>
      <c r="T41" s="3" t="n">
        <v>0.5</v>
      </c>
      <c r="U41" s="2" t="inlineStr">
        <is>
          <t>'Compete ao Ministério que superintende a área do Ambiente' with monitoring (+0.25), authority designated (+0.25). Dissemination of compliance rules (+0.25 monitoring mechanism). No penalties in Art. 6 itself.</t>
        </is>
      </c>
      <c r="V41" s="3">
        <f>AVERAGE(P41,T41)</f>
        <v/>
      </c>
      <c r="W41" s="2" t="inlineStr">
        <is>
          <t>National governance/coordination instrument for plastic bag management. Source: Colectânea de Legislação do Ambiente (FDUEM, Maputo 2020), user-uploaded PDF; policy URL not available.</t>
        </is>
      </c>
    </row>
    <row r="42">
      <c r="A42" s="2" t="inlineStr">
        <is>
          <t>Regulamento sobre a Gestão e Controlo do Saco de Plástico (Decreto n.º 16/2015, de 5 de Agosto)</t>
        </is>
      </c>
      <c r="B42" s="2" t="inlineStr">
        <is>
          <t>not available</t>
        </is>
      </c>
      <c r="C42" s="2" t="n">
        <v>2015</v>
      </c>
      <c r="D42"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2" s="2" t="n">
        <v>0</v>
      </c>
      <c r="F42" s="2" t="inlineStr"/>
      <c r="G42" s="3" t="n">
        <v>0.75</v>
      </c>
      <c r="H42" s="2" t="inlineStr">
        <is>
          <t>Executive decree (Decreto n.º 16/2015) approved by the Council of Ministers on 30 June 2015 and published 5 August 2015, under Lei 20/97 Art. 33 and Constitution Art. 204. Sub-legislative instrument, not parliamentary legislation.</t>
        </is>
      </c>
      <c r="I42" s="3" t="n">
        <v>0.75</v>
      </c>
      <c r="J42" s="2" t="inlineStr">
        <is>
          <t>production, consumption, retail, waste management, industry, municipalities, packaging, fisheries</t>
        </is>
      </c>
      <c r="K42" s="3" t="n">
        <v>0.75</v>
      </c>
      <c r="L42" s="2" t="inlineStr">
        <is>
          <t>production, consumption, recycling, disposal</t>
        </is>
      </c>
      <c r="M42" s="3" t="n">
        <v>1</v>
      </c>
      <c r="N42"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2" s="3">
        <f>AVERAGE(G42,I42,K42,M42,P42)</f>
        <v/>
      </c>
      <c r="P42" s="3" t="n">
        <v>0.2</v>
      </c>
      <c r="Q42" s="2" t="inlineStr">
        <is>
          <t>Production</t>
        </is>
      </c>
      <c r="R42" s="2" t="inlineStr">
        <is>
          <t>Art. 6(2): Finance Ministry shall fiscalize the import process of plastic bags through competent bodies.</t>
        </is>
      </c>
      <c r="S42" s="3" t="n">
        <v>1</v>
      </c>
      <c r="T42" s="3" t="n">
        <v>0.5</v>
      </c>
      <c r="U42" s="2" t="inlineStr">
        <is>
          <t>'Compete ao Ministério que Superintende a área das Finanças, fiscalizar através de órgãos competentes o processo de importação do saco de plástico.' Authority (+0.25) and import inspection (+0.25 monitoring).</t>
        </is>
      </c>
      <c r="V42" s="3">
        <f>AVERAGE(P42,T42)</f>
        <v/>
      </c>
      <c r="W42" s="2" t="inlineStr">
        <is>
          <t>Border/import enforcement coordination for plastic bags. Source: Colectânea de Legislação do Ambiente (FDUEM, Maputo 2020), user-uploaded PDF; policy URL not available.</t>
        </is>
      </c>
    </row>
    <row r="43">
      <c r="A43" s="2" t="inlineStr">
        <is>
          <t>Regulamento sobre a Gestão e Controlo do Saco de Plástico (Decreto n.º 16/2015, de 5 de Agosto)</t>
        </is>
      </c>
      <c r="B43" s="2" t="inlineStr">
        <is>
          <t>not available</t>
        </is>
      </c>
      <c r="C43" s="2" t="n">
        <v>2015</v>
      </c>
      <c r="D43"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3" s="2" t="n">
        <v>0</v>
      </c>
      <c r="F43" s="2" t="inlineStr"/>
      <c r="G43" s="3" t="n">
        <v>0.75</v>
      </c>
      <c r="H43" s="2" t="inlineStr">
        <is>
          <t>Executive decree (Decreto n.º 16/2015) approved by the Council of Ministers on 30 June 2015 and published 5 August 2015, under Lei 20/97 Art. 33 and Constitution Art. 204. Sub-legislative instrument, not parliamentary legislation.</t>
        </is>
      </c>
      <c r="I43" s="3" t="n">
        <v>0.75</v>
      </c>
      <c r="J43" s="2" t="inlineStr">
        <is>
          <t>production, consumption, retail, waste management, industry, municipalities, packaging, fisheries</t>
        </is>
      </c>
      <c r="K43" s="3" t="n">
        <v>0.75</v>
      </c>
      <c r="L43" s="2" t="inlineStr">
        <is>
          <t>production, consumption, recycling, disposal</t>
        </is>
      </c>
      <c r="M43" s="3" t="n">
        <v>1</v>
      </c>
      <c r="N43"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3" s="3">
        <f>AVERAGE(G43,I43,K43,M43,P43)</f>
        <v/>
      </c>
      <c r="P43" s="3" t="n">
        <v>0.2</v>
      </c>
      <c r="Q43" s="2" t="inlineStr">
        <is>
          <t>Production</t>
        </is>
      </c>
      <c r="R43" s="2" t="inlineStr">
        <is>
          <t>Art. 6(3): Industry and Commerce Ministry shall license production and marketing activities of plastic bags and register entities that produce, market and import plastic bags.</t>
        </is>
      </c>
      <c r="S43" s="3" t="n">
        <v>1</v>
      </c>
      <c r="T43" s="3" t="n">
        <v>0.25</v>
      </c>
      <c r="U43" s="2" t="inlineStr">
        <is>
          <t>'Licenciar as actividades de produção e comercialização do saco plástico'; 'Cadastrar entidades que produzem, comercializam e importam sacos plásticos.' Responsible authority designated (+0.25).</t>
        </is>
      </c>
      <c r="V43" s="3">
        <f>AVERAGE(P43,T43)</f>
        <v/>
      </c>
      <c r="W43" s="2" t="inlineStr">
        <is>
          <t>Producer/importer registration and licensing framework. Source: Colectânea de Legislação do Ambiente (FDUEM, Maputo 2020), user-uploaded PDF; policy URL not available.</t>
        </is>
      </c>
    </row>
    <row r="44">
      <c r="A44" s="2" t="inlineStr">
        <is>
          <t>Regulamento sobre a Gestão e Controlo do Saco de Plástico (Decreto n.º 16/2015, de 5 de Agosto)</t>
        </is>
      </c>
      <c r="B44" s="2" t="inlineStr">
        <is>
          <t>not available</t>
        </is>
      </c>
      <c r="C44" s="2" t="n">
        <v>2015</v>
      </c>
      <c r="D44"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4" s="2" t="n">
        <v>0</v>
      </c>
      <c r="F44" s="2" t="inlineStr"/>
      <c r="G44" s="3" t="n">
        <v>0.75</v>
      </c>
      <c r="H44" s="2" t="inlineStr">
        <is>
          <t>Executive decree (Decreto n.º 16/2015) approved by the Council of Ministers on 30 June 2015 and published 5 August 2015, under Lei 20/97 Art. 33 and Constitution Art. 204. Sub-legislative instrument, not parliamentary legislation.</t>
        </is>
      </c>
      <c r="I44" s="3" t="n">
        <v>0.75</v>
      </c>
      <c r="J44" s="2" t="inlineStr">
        <is>
          <t>production, consumption, retail, waste management, industry, municipalities, packaging, fisheries</t>
        </is>
      </c>
      <c r="K44" s="3" t="n">
        <v>0.75</v>
      </c>
      <c r="L44" s="2" t="inlineStr">
        <is>
          <t>production, consumption, recycling, disposal</t>
        </is>
      </c>
      <c r="M44" s="3" t="n">
        <v>1</v>
      </c>
      <c r="N44"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4" s="3">
        <f>AVERAGE(G44,I44,K44,M44,P44)</f>
        <v/>
      </c>
      <c r="P44" s="3" t="n">
        <v>0.2</v>
      </c>
      <c r="Q44" s="2" t="inlineStr">
        <is>
          <t>Consumption</t>
        </is>
      </c>
      <c r="R44" s="2" t="inlineStr">
        <is>
          <t>Art. 6(4): National Economic Activities Inspection (INAE) shall inspect production, marketing and use of plastic bags.</t>
        </is>
      </c>
      <c r="S44" s="3" t="n">
        <v>1</v>
      </c>
      <c r="T44" s="3" t="n">
        <v>0.75</v>
      </c>
      <c r="U44" s="2" t="inlineStr">
        <is>
          <t>'Compete a Inspecção Nacional de Actividades Económicas fiscalizar a produção, comercialização e uso do saco plástico.' Authority (+0.25), enforcement via Art. 7 fines (+0.25), monitoring/inspection (+0.25). Receives 30% of fines (Art. 8).</t>
        </is>
      </c>
      <c r="V44" s="3">
        <f>AVERAGE(P44,T44)</f>
        <v/>
      </c>
      <c r="W44" s="2" t="inlineStr">
        <is>
          <t>Primary enforcement body for retail and production compliance. Source: Colectânea de Legislação do Ambiente (FDUEM, Maputo 2020), user-uploaded PDF; policy URL not available.</t>
        </is>
      </c>
    </row>
    <row r="45">
      <c r="A45" s="2" t="inlineStr">
        <is>
          <t>Regulamento sobre a Gestão e Controlo do Saco de Plástico (Decreto n.º 16/2015, de 5 de Agosto)</t>
        </is>
      </c>
      <c r="B45" s="2" t="inlineStr">
        <is>
          <t>not available</t>
        </is>
      </c>
      <c r="C45" s="2" t="n">
        <v>2015</v>
      </c>
      <c r="D45"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5" s="2" t="n">
        <v>0</v>
      </c>
      <c r="F45" s="2" t="inlineStr"/>
      <c r="G45" s="3" t="n">
        <v>0.75</v>
      </c>
      <c r="H45" s="2" t="inlineStr">
        <is>
          <t>Executive decree (Decreto n.º 16/2015) approved by the Council of Ministers on 30 June 2015 and published 5 August 2015, under Lei 20/97 Art. 33 and Constitution Art. 204. Sub-legislative instrument, not parliamentary legislation.</t>
        </is>
      </c>
      <c r="I45" s="3" t="n">
        <v>0.75</v>
      </c>
      <c r="J45" s="2" t="inlineStr">
        <is>
          <t>production, consumption, retail, waste management, industry, municipalities, packaging, fisheries</t>
        </is>
      </c>
      <c r="K45" s="3" t="n">
        <v>0.75</v>
      </c>
      <c r="L45" s="2" t="inlineStr">
        <is>
          <t>production, consumption, recycling, disposal</t>
        </is>
      </c>
      <c r="M45" s="3" t="n">
        <v>1</v>
      </c>
      <c r="N45"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5" s="3">
        <f>AVERAGE(G45,I45,K45,M45,P45)</f>
        <v/>
      </c>
      <c r="P45" s="3" t="n">
        <v>0.2</v>
      </c>
      <c r="Q45" s="2" t="inlineStr">
        <is>
          <t>Waste management</t>
        </is>
      </c>
      <c r="R45" s="2" t="inlineStr">
        <is>
          <t>Art. 6(5): Local State bodies and Municipal Councils shall, within their competences, ensure compliance with this Regulation.</t>
        </is>
      </c>
      <c r="S45" s="3" t="n">
        <v>1</v>
      </c>
      <c r="T45" s="3" t="n">
        <v>0.25</v>
      </c>
      <c r="U45" s="2" t="inlineStr">
        <is>
          <t>'Compete aos Órgãos Locais do Estado e Conselhos Municipais... velar pelo cumprimento do presente Regulamento.' Municipal authority designated (+0.25).</t>
        </is>
      </c>
      <c r="V45" s="3">
        <f>AVERAGE(P45,T45)</f>
        <v/>
      </c>
      <c r="W45" s="2" t="inlineStr">
        <is>
          <t>Multi-level governance coordination (Rule 11); municipal waste-bag exception in Art. 4(2) links instrument to municipal waste streams. Source: Colectânea de Legislação do Ambiente (FDUEM, Maputo 2020), user-uploaded PDF; policy URL not available.</t>
        </is>
      </c>
    </row>
    <row r="46">
      <c r="A46" s="2" t="inlineStr">
        <is>
          <t>Regulamento sobre a Gestão e Controlo do Saco de Plástico (Decreto n.º 16/2015, de 5 de Agosto)</t>
        </is>
      </c>
      <c r="B46" s="2" t="inlineStr">
        <is>
          <t>not available</t>
        </is>
      </c>
      <c r="C46" s="2" t="n">
        <v>2015</v>
      </c>
      <c r="D46"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6" s="2" t="n">
        <v>0</v>
      </c>
      <c r="F46" s="2" t="inlineStr"/>
      <c r="G46" s="3" t="n">
        <v>0.75</v>
      </c>
      <c r="H46" s="2" t="inlineStr">
        <is>
          <t>Executive decree (Decreto n.º 16/2015) approved by the Council of Ministers on 30 June 2015 and published 5 August 2015, under Lei 20/97 Art. 33 and Constitution Art. 204. Sub-legislative instrument, not parliamentary legislation.</t>
        </is>
      </c>
      <c r="I46" s="3" t="n">
        <v>0.75</v>
      </c>
      <c r="J46" s="2" t="inlineStr">
        <is>
          <t>production, consumption, retail, waste management, industry, municipalities, packaging, fisheries</t>
        </is>
      </c>
      <c r="K46" s="3" t="n">
        <v>0.75</v>
      </c>
      <c r="L46" s="2" t="inlineStr">
        <is>
          <t>production, consumption, recycling, disposal</t>
        </is>
      </c>
      <c r="M46" s="3" t="n">
        <v>1</v>
      </c>
      <c r="N46"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6" s="3">
        <f>AVERAGE(G46,I46,K46,M46,P46)</f>
        <v/>
      </c>
      <c r="P46" s="3" t="n">
        <v>0.6</v>
      </c>
      <c r="Q46" s="2" t="inlineStr">
        <is>
          <t>Consumption</t>
        </is>
      </c>
      <c r="R46" s="2" t="inlineStr">
        <is>
          <t>Art. 7: Fine schedule for violations — production below 30 µm (40 min. wages), import (80), retail/wholesale (50), free distribution (25), failure to display separate price (30), &gt;40% recycled in food retail (60). Repeat offences tripled. Payment within 20 days or coercive collection.</t>
        </is>
      </c>
      <c r="S46" s="3" t="n">
        <v>1</v>
      </c>
      <c r="T46" s="3" t="n">
        <v>0.75</v>
      </c>
      <c r="U46" s="2" t="inlineStr">
        <is>
          <t>'As transgressões às disposições deste Regulamento ficam sujeitas às seguintes multas.' Explicit fines (+0.25 enforcement). Payment to State Treasury within 20 days with coercive collection (+0.25). Triple repeat offences (+0.25). Inspecting entities designated via Art. 6 (+0.25).</t>
        </is>
      </c>
      <c r="V46" s="3">
        <f>AVERAGE(P46,T46)</f>
        <v/>
      </c>
      <c r="W46" s="2" t="inlineStr">
        <is>
          <t>Economic enforcement instrument; fine levels are quantified but are penalties not policy targets (Col E = 0). Source: Colectânea de Legislação do Ambiente (FDUEM, Maputo 2020), user-uploaded PDF; policy URL not available.</t>
        </is>
      </c>
    </row>
    <row r="47">
      <c r="A47" s="2" t="inlineStr">
        <is>
          <t>Regulamento sobre a Gestão e Controlo do Saco de Plástico (Decreto n.º 16/2015, de 5 de Agosto)</t>
        </is>
      </c>
      <c r="B47" s="2" t="inlineStr">
        <is>
          <t>not available</t>
        </is>
      </c>
      <c r="C47" s="2" t="n">
        <v>2015</v>
      </c>
      <c r="D47"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7" s="2" t="n">
        <v>0</v>
      </c>
      <c r="F47" s="2" t="inlineStr"/>
      <c r="G47" s="3" t="n">
        <v>0.75</v>
      </c>
      <c r="H47" s="2" t="inlineStr">
        <is>
          <t>Executive decree (Decreto n.º 16/2015) approved by the Council of Ministers on 30 June 2015 and published 5 August 2015, under Lei 20/97 Art. 33 and Constitution Art. 204. Sub-legislative instrument, not parliamentary legislation.</t>
        </is>
      </c>
      <c r="I47" s="3" t="n">
        <v>0.75</v>
      </c>
      <c r="J47" s="2" t="inlineStr">
        <is>
          <t>production, consumption, retail, waste management, industry, municipalities, packaging, fisheries</t>
        </is>
      </c>
      <c r="K47" s="3" t="n">
        <v>0.75</v>
      </c>
      <c r="L47" s="2" t="inlineStr">
        <is>
          <t>production, consumption, recycling, disposal</t>
        </is>
      </c>
      <c r="M47" s="3" t="n">
        <v>1</v>
      </c>
      <c r="N47"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7" s="3">
        <f>AVERAGE(G47,I47,K47,M47,P47)</f>
        <v/>
      </c>
      <c r="P47" s="3" t="n">
        <v>0.6</v>
      </c>
      <c r="Q47" s="2" t="inlineStr">
        <is>
          <t>Waste management</t>
        </is>
      </c>
      <c r="R47" s="2" t="inlineStr">
        <is>
          <t>Art. 8: Fine revenue allocated 40% to State Budget, 30% to Environment Fund, 30% to inspecting entity; Environment Minister determines share of Fund proceeds for improving fiscalization services.</t>
        </is>
      </c>
      <c r="S47" s="3" t="n">
        <v>1</v>
      </c>
      <c r="T47" s="3" t="n">
        <v>0.5</v>
      </c>
      <c r="U47" s="2" t="inlineStr">
        <is>
          <t>'40% para o Orçamento do Estado; 30% para o Fundo do Ambiente; 30% para a Entidade Fiscalizadora.' Ring-fenced revenue allocation (+0.25). Environment Minister authority over Fund disbursement (+0.25).</t>
        </is>
      </c>
      <c r="V47" s="3">
        <f>AVERAGE(P47,T47)</f>
        <v/>
      </c>
      <c r="W47" s="2" t="inlineStr">
        <is>
          <t>Supports policy_budget = 1 (dedicated Environment Fund allocation from fines). Source: Colectânea de Legislação do Ambiente (FDUEM, Maputo 2020), user-uploaded PDF; policy URL not available.</t>
        </is>
      </c>
    </row>
    <row r="48">
      <c r="A48" s="2" t="inlineStr">
        <is>
          <t>Regulamento sobre a Gestão e Controlo do Saco de Plástico (Decreto n.º 16/2015, de 5 de Agosto)</t>
        </is>
      </c>
      <c r="B48" s="2" t="inlineStr">
        <is>
          <t>not available</t>
        </is>
      </c>
      <c r="C48" s="2" t="n">
        <v>2015</v>
      </c>
      <c r="D48"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8" s="2" t="n">
        <v>0</v>
      </c>
      <c r="F48" s="2" t="inlineStr"/>
      <c r="G48" s="3" t="n">
        <v>0.75</v>
      </c>
      <c r="H48" s="2" t="inlineStr">
        <is>
          <t>Executive decree (Decreto n.º 16/2015) approved by the Council of Ministers on 30 June 2015 and published 5 August 2015, under Lei 20/97 Art. 33 and Constitution Art. 204. Sub-legislative instrument, not parliamentary legislation.</t>
        </is>
      </c>
      <c r="I48" s="3" t="n">
        <v>0.75</v>
      </c>
      <c r="J48" s="2" t="inlineStr">
        <is>
          <t>production, consumption, retail, waste management, industry, municipalities, packaging, fisheries</t>
        </is>
      </c>
      <c r="K48" s="3" t="n">
        <v>0.75</v>
      </c>
      <c r="L48" s="2" t="inlineStr">
        <is>
          <t>production, consumption, recycling, disposal</t>
        </is>
      </c>
      <c r="M48" s="3" t="n">
        <v>1</v>
      </c>
      <c r="N48"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8" s="3">
        <f>AVERAGE(G48,I48,K48,M48,P48)</f>
        <v/>
      </c>
      <c r="P48" s="3" t="n">
        <v>0.4</v>
      </c>
      <c r="Q48" s="2" t="inlineStr">
        <is>
          <t>Consumption</t>
        </is>
      </c>
      <c r="R48" s="2" t="inlineStr">
        <is>
          <t>Art. 6(1)(c): Environment Ministry shall adopt coordinated measures necessary to reduce plastic bag use and identify sustainable alternatives.</t>
        </is>
      </c>
      <c r="S48" s="3" t="n">
        <v>1</v>
      </c>
      <c r="T48" s="3" t="n">
        <v>0.25</v>
      </c>
      <c r="U48" s="2" t="inlineStr">
        <is>
          <t>'Adoptar em coordenação com os outros sectores, medidas necessárias para a redução do uso de saco de plástico e identificar alternativas sustentáveis.' Authority designated (+0.25); measures not specified — discretionary programme.</t>
        </is>
      </c>
      <c r="V48" s="3">
        <f>AVERAGE(P48,T48)</f>
        <v/>
      </c>
      <c r="W48" s="2" t="inlineStr">
        <is>
          <t>Information/voluntary-type programme instrument; complements regulatory bans. No quantifiable reduction target stated (hence Col E = 0). Source: Colectânea de Legislação do Ambiente (FDUEM, Maputo 2020), user-uploaded PDF; policy URL not available.</t>
        </is>
      </c>
    </row>
    <row r="49">
      <c r="A49" s="2" t="inlineStr">
        <is>
          <t>Regulamento sobre a Gestão e Controlo do Saco de Plástico (Decreto n.º 16/2015, de 5 de Agosto)</t>
        </is>
      </c>
      <c r="B49" s="2" t="inlineStr">
        <is>
          <t>not available</t>
        </is>
      </c>
      <c r="C49" s="2" t="n">
        <v>2015</v>
      </c>
      <c r="D49"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9" s="2" t="n">
        <v>0</v>
      </c>
      <c r="F49" s="2" t="inlineStr"/>
      <c r="G49" s="3" t="n">
        <v>0.75</v>
      </c>
      <c r="H49" s="2" t="inlineStr">
        <is>
          <t>Executive decree (Decreto n.º 16/2015) approved by the Council of Ministers on 30 June 2015 and published 5 August 2015, under Lei 20/97 Art. 33 and Constitution Art. 204. Sub-legislative instrument, not parliamentary legislation.</t>
        </is>
      </c>
      <c r="I49" s="3" t="n">
        <v>0.75</v>
      </c>
      <c r="J49" s="2" t="inlineStr">
        <is>
          <t>production, consumption, retail, waste management, industry, municipalities, packaging, fisheries</t>
        </is>
      </c>
      <c r="K49" s="3" t="n">
        <v>0.75</v>
      </c>
      <c r="L49" s="2" t="inlineStr">
        <is>
          <t>production, consumption, recycling, disposal</t>
        </is>
      </c>
      <c r="M49" s="3" t="n">
        <v>1</v>
      </c>
      <c r="N49"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9" s="3">
        <f>AVERAGE(G49,I49,K49,M49,P49)</f>
        <v/>
      </c>
      <c r="P49" s="3" t="n">
        <v>0.2</v>
      </c>
      <c r="Q49" s="2" t="inlineStr">
        <is>
          <t>Production</t>
        </is>
      </c>
      <c r="R49" s="2" t="inlineStr">
        <is>
          <t>Decreto Art. 2: Environment Minister, heard Industry Minister, may approve complementary norms for implementation of the Regulation.</t>
        </is>
      </c>
      <c r="S49" s="3" t="n">
        <v>0</v>
      </c>
      <c r="T49" s="3" t="n">
        <v>0.25</v>
      </c>
      <c r="U49" s="2" t="inlineStr">
        <is>
          <t>'Compete ao Ministro que superintende a área do Ambiente... aprovar normas complementares para a implementação do presente Regulamento.' Enabling power for subordinate norms (+0.25 authority).</t>
        </is>
      </c>
      <c r="V49" s="3">
        <f>AVERAGE(P49,T49)</f>
        <v/>
      </c>
      <c r="W49" s="2" t="inlineStr">
        <is>
          <t>In-force = 0 per Rule 12 unless complementary norms evidenced as adopted (not in this document). Source: Colectânea de Legislação do Ambiente (FDUEM, Maputo 2020), user-uploaded PDF; policy URL not available.</t>
        </is>
      </c>
    </row>
    <row r="50">
      <c r="A50" s="2" t="inlineStr">
        <is>
          <t>Regulamento da Avaliação do Impacto Ambiental (Decreto n.º 54/2015)</t>
        </is>
      </c>
      <c r="B50" s="2" t="inlineStr">
        <is>
          <t>not available</t>
        </is>
      </c>
      <c r="C50" s="2" t="n">
        <v>2015</v>
      </c>
      <c r="D50" s="2" t="inlineStr">
        <is>
          <t>Regulate environmental impact assessment and licensing for projects that may cause significant environmental harm including plastic production facilities.</t>
        </is>
      </c>
      <c r="E50" s="2" t="n">
        <v>0</v>
      </c>
      <c r="F50" s="2" t="inlineStr"/>
      <c r="G50" s="3" t="n">
        <v>0.75</v>
      </c>
      <c r="H50" s="2" t="inlineStr">
        <is>
          <t>Executive decree, Council of Ministers, December 2015.</t>
        </is>
      </c>
      <c r="I50" s="3" t="n">
        <v>0.75</v>
      </c>
      <c r="J50" s="2" t="inlineStr">
        <is>
          <t>industry, infrastructure, mining, energy, tourism, environment, municipalities</t>
        </is>
      </c>
      <c r="K50" s="3" t="n">
        <v>0.5</v>
      </c>
      <c r="L50" s="2" t="inlineStr">
        <is>
          <t>production, disposal</t>
        </is>
      </c>
      <c r="M50" s="3" t="n">
        <v>0</v>
      </c>
      <c r="N50" s="2" t="inlineStr"/>
      <c r="O50" s="3">
        <f>AVERAGE(G50,I50,K50,M50,P50)</f>
        <v/>
      </c>
      <c r="P50" s="3" t="n">
        <v>0.2</v>
      </c>
      <c r="Q50" s="2" t="inlineStr">
        <is>
          <t>Production</t>
        </is>
      </c>
      <c r="R50" s="2" t="inlineStr">
        <is>
          <t>Mandatory EIA and environmental licensing for Category A/A+ projects including large industrial installations; mitigation hierarchy required.</t>
        </is>
      </c>
      <c r="S50" s="3" t="n">
        <v>1</v>
      </c>
      <c r="T50" s="3" t="n">
        <v>0.75</v>
      </c>
      <c r="U50" s="2" t="inlineStr">
        <is>
          <t>Licensing authority designated; inspections; biodiversity offsets where required; public participation.</t>
        </is>
      </c>
      <c r="V50" s="3">
        <f>AVERAGE(P50,T50)</f>
        <v/>
      </c>
      <c r="W50" s="2" t="inlineStr">
        <is>
          <t>Applies to new plastic/polymer production projects. Source: Colectânea de Legislação do Ambiente (FDUEM, Maputo 2020), user-uploaded PDF; policy URL not available.</t>
        </is>
      </c>
    </row>
    <row r="51">
      <c r="A51" s="2" t="inlineStr">
        <is>
          <t>Regulamento sobre a Responsabilidade Alargada dos Produtores e Importadores de Embalagens (Decreto n.º 79/2017)</t>
        </is>
      </c>
      <c r="B51" s="2" t="inlineStr">
        <is>
          <t>not available</t>
        </is>
      </c>
      <c r="C51" s="2" t="n">
        <v>2017</v>
      </c>
      <c r="D51" s="2" t="inlineStr">
        <is>
          <t>Establish extended producer responsibility for packaging including internal management systems, packaging environmental fee (TAE), and packaging standardisation to reduce pollution and fund waste management.</t>
        </is>
      </c>
      <c r="E51" s="2" t="n">
        <v>0</v>
      </c>
      <c r="F51" s="2" t="inlineStr"/>
      <c r="G51" s="3" t="n">
        <v>0.75</v>
      </c>
      <c r="H51" s="2" t="inlineStr">
        <is>
          <t>Executive decree approved by Council of Ministers, 28 December 2017 (Boletim da República n.º 203).</t>
        </is>
      </c>
      <c r="I51" s="3" t="n">
        <v>0.75</v>
      </c>
      <c r="J51" s="2" t="inlineStr">
        <is>
          <t>packaging, industry, retail, municipalities, waste management, recycling, chemicals</t>
        </is>
      </c>
      <c r="K51" s="3" t="n">
        <v>0.75</v>
      </c>
      <c r="L51" s="2" t="inlineStr">
        <is>
          <t>production, consumption, recycling, disposal</t>
        </is>
      </c>
      <c r="M51" s="3" t="n">
        <v>0.5</v>
      </c>
      <c r="N51" s="2" t="inlineStr">
        <is>
          <t>Creates Taxa Ambiental sobre a Embalagem (TAE) payable by producers/importers; Diploma Ministerial 26/2025 later defines TAE formula.</t>
        </is>
      </c>
      <c r="O51" s="3">
        <f>AVERAGE(G51,I51,K51,M51,P51)</f>
        <v/>
      </c>
      <c r="P51" s="3" t="n">
        <v>1</v>
      </c>
      <c r="Q51" s="2" t="inlineStr">
        <is>
          <t>Production</t>
        </is>
      </c>
      <c r="R51" s="2" t="inlineStr">
        <is>
          <t>Art. 6-8: Assigns physical/financial responsibility to producers and importers for packaging waste management and take-back obligations.</t>
        </is>
      </c>
      <c r="S51" s="3" t="n">
        <v>1</v>
      </c>
      <c r="T51" s="3" t="n">
        <v>0.5</v>
      </c>
      <c r="U51" s="2" t="inlineStr">
        <is>
          <t>Responsibilities assigned to producers, MIC, MEF and municipalities; implementation reported weak without TAE operationalisation.</t>
        </is>
      </c>
      <c r="V51" s="3">
        <f>AVERAGE(P51,T51)</f>
        <v/>
      </c>
      <c r="W51" s="2" t="inlineStr">
        <is>
          <t>Full decree text not on public .gov.mz PDF; coded from CIPMoz legal analysis and World Bank plastic flows study citing Arts. 6-8. Source: Colectânea de Legislação do Ambiente (FDUEM, Maputo 2020), user-uploaded PDF; policy URL not available.</t>
        </is>
      </c>
    </row>
    <row r="52">
      <c r="A52" s="2" t="inlineStr">
        <is>
          <t>Regulamento sobre a Responsabilidade Alargada dos Produtores e Importadores de Embalagens (Decreto n.º 79/2017)</t>
        </is>
      </c>
      <c r="B52" s="2" t="inlineStr">
        <is>
          <t>not available</t>
        </is>
      </c>
      <c r="C52" s="2" t="n">
        <v>2017</v>
      </c>
      <c r="D52" s="2" t="inlineStr">
        <is>
          <t>Establish extended producer responsibility for packaging including internal management systems, packaging environmental fee (TAE), and packaging standardisation to reduce pollution and fund waste management.</t>
        </is>
      </c>
      <c r="E52" s="2" t="n">
        <v>0</v>
      </c>
      <c r="F52" s="2" t="inlineStr"/>
      <c r="G52" s="3" t="n">
        <v>0.75</v>
      </c>
      <c r="H52" s="2" t="inlineStr">
        <is>
          <t>Executive decree approved by Council of Ministers, 28 December 2017 (Boletim da República n.º 203).</t>
        </is>
      </c>
      <c r="I52" s="3" t="n">
        <v>0.75</v>
      </c>
      <c r="J52" s="2" t="inlineStr">
        <is>
          <t>packaging, industry, retail, municipalities, waste management, recycling, chemicals</t>
        </is>
      </c>
      <c r="K52" s="3" t="n">
        <v>0.75</v>
      </c>
      <c r="L52" s="2" t="inlineStr">
        <is>
          <t>production, consumption, recycling, disposal</t>
        </is>
      </c>
      <c r="M52" s="3" t="n">
        <v>0.5</v>
      </c>
      <c r="N52" s="2" t="inlineStr">
        <is>
          <t>Creates Taxa Ambiental sobre a Embalagem (TAE) payable by producers/importers; Diploma Ministerial 26/2025 later defines TAE formula.</t>
        </is>
      </c>
      <c r="O52" s="3">
        <f>AVERAGE(G52,I52,K52,M52,P52)</f>
        <v/>
      </c>
      <c r="P52" s="3" t="n">
        <v>0.6</v>
      </c>
      <c r="Q52" s="2" t="inlineStr">
        <is>
          <t>Recycling</t>
        </is>
      </c>
      <c r="R52" s="2" t="inlineStr">
        <is>
          <t>Art. 13-14: Establishes TAE (packaging environmental fee) with four criteria (returnability, decomposition time/impact, treatment cost, eco-design).</t>
        </is>
      </c>
      <c r="S52" s="3" t="n">
        <v>0</v>
      </c>
      <c r="T52" s="3" t="n">
        <v>0.25</v>
      </c>
      <c r="U52" s="2" t="inlineStr">
        <is>
          <t>TAE requires supplementary ministerial diploma for formula; DM 26/2025 approved March 2025 — enabling power partially exercised.</t>
        </is>
      </c>
      <c r="V52" s="3">
        <f>AVERAGE(P52,T52)</f>
        <v/>
      </c>
      <c r="W52" s="2" t="inlineStr">
        <is>
          <t>Score in_force=0 until TAE fully operational; DM 26/2025 may change status — verify separately. Source: Colectânea de Legislação do Ambiente (FDUEM, Maputo 2020), user-uploaded PDF; policy URL not available.</t>
        </is>
      </c>
    </row>
    <row r="53">
      <c r="A53" s="2" t="inlineStr">
        <is>
          <t>Regulamento sobre a Responsabilidade Alargada dos Produtores e Importadores de Embalagens (Decreto n.º 79/2017)</t>
        </is>
      </c>
      <c r="B53" s="2" t="inlineStr">
        <is>
          <t>not available</t>
        </is>
      </c>
      <c r="C53" s="2" t="n">
        <v>2017</v>
      </c>
      <c r="D53" s="2" t="inlineStr">
        <is>
          <t>Establish extended producer responsibility for packaging including internal management systems, packaging environmental fee (TAE), and packaging standardisation to reduce pollution and fund waste management.</t>
        </is>
      </c>
      <c r="E53" s="2" t="n">
        <v>0</v>
      </c>
      <c r="F53" s="2" t="inlineStr"/>
      <c r="G53" s="3" t="n">
        <v>0.75</v>
      </c>
      <c r="H53" s="2" t="inlineStr">
        <is>
          <t>Executive decree approved by Council of Ministers, 28 December 2017 (Boletim da República n.º 203).</t>
        </is>
      </c>
      <c r="I53" s="3" t="n">
        <v>0.75</v>
      </c>
      <c r="J53" s="2" t="inlineStr">
        <is>
          <t>packaging, industry, retail, municipalities, waste management, recycling, chemicals</t>
        </is>
      </c>
      <c r="K53" s="3" t="n">
        <v>0.75</v>
      </c>
      <c r="L53" s="2" t="inlineStr">
        <is>
          <t>production, consumption, recycling, disposal</t>
        </is>
      </c>
      <c r="M53" s="3" t="n">
        <v>0.5</v>
      </c>
      <c r="N53" s="2" t="inlineStr">
        <is>
          <t>Creates Taxa Ambiental sobre a Embalagem (TAE) payable by producers/importers; Diploma Ministerial 26/2025 later defines TAE formula.</t>
        </is>
      </c>
      <c r="O53" s="3">
        <f>AVERAGE(G53,I53,K53,M53,P53)</f>
        <v/>
      </c>
      <c r="P53" s="3" t="n">
        <v>1</v>
      </c>
      <c r="Q53" s="2" t="inlineStr">
        <is>
          <t>Production</t>
        </is>
      </c>
      <c r="R53" s="2" t="inlineStr">
        <is>
          <t>Art. 17: Producers must preferentially use recyclable materials in packaging production.</t>
        </is>
      </c>
      <c r="S53" s="3" t="n">
        <v>1</v>
      </c>
      <c r="T53" s="3" t="n">
        <v>0.25</v>
      </c>
      <c r="U53" s="2" t="inlineStr">
        <is>
          <t>Mandatory language but limited explicit enforcement provisions in cited articles.</t>
        </is>
      </c>
      <c r="V53" s="3">
        <f>AVERAGE(P53,T53)</f>
        <v/>
      </c>
      <c r="W53" s="2" t="inlineStr">
        <is>
          <t>Source: Colectânea de Legislação do Ambiente (FDUEM, Maputo 2020), user-uploaded PDF; policy URL not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Country</t>
        </is>
      </c>
      <c r="B2" t="inlineStr">
        <is>
          <t>Mozambique</t>
        </is>
      </c>
    </row>
    <row r="3">
      <c r="A3" t="inlineStr">
        <is>
          <t>Index</t>
        </is>
      </c>
      <c r="B3" t="inlineStr">
        <is>
          <t>4P Index v2</t>
        </is>
      </c>
    </row>
    <row r="4">
      <c r="A4" t="inlineStr">
        <is>
          <t>Source</t>
        </is>
      </c>
      <c r="B4" t="inlineStr">
        <is>
          <t>Colectânea de Legislação do Ambiente (FDUEM 2020), user upload</t>
        </is>
      </c>
    </row>
    <row r="5">
      <c r="A5" t="inlineStr">
        <is>
          <t>Compilation policies (total)</t>
        </is>
      </c>
      <c r="B5" t="inlineStr">
        <is>
          <t>16</t>
        </is>
      </c>
    </row>
    <row r="6">
      <c r="A6" t="inlineStr">
        <is>
          <t>Policies coded (plastics filter)</t>
        </is>
      </c>
      <c r="B6" t="n">
        <v>10</v>
      </c>
    </row>
    <row r="7">
      <c r="A7" t="inlineStr">
        <is>
          <t>Instrument rows</t>
        </is>
      </c>
      <c r="B7" t="n">
        <v>52</v>
      </c>
    </row>
    <row r="8">
      <c r="A8" t="inlineStr">
        <is>
          <t>Coding date</t>
        </is>
      </c>
      <c r="B8" t="inlineStr">
        <is>
          <t>June 2026</t>
        </is>
      </c>
    </row>
    <row r="9">
      <c r="A9" t="inlineStr">
        <is>
          <t>Excluded from coding (no plastics instruments)</t>
        </is>
      </c>
      <c r="B9" t="inlineStr">
        <is>
          <t>Decreto n.º 19/2007 — Acesso e Partilha de Benefícios de Recursos Genéticos; Decreto n.º 24/2008 — Gestão das Substâncias que Destroem a Camada de Ozono; Decreto n.º 25/2008 — Controlo de Espécies Exóticas Invasivas; Decreto n.º 55/2010 — Banimento do Amianto e seus Derivados; Decreto n.º 71/2014 — Biossegurança de Organismos Geneticamente Modificados; Decreto n.º 23/2018 — REDD+ / Redução de Emissões por Desmatamento</t>
        </is>
      </c>
    </row>
    <row r="10">
      <c r="A10" t="inlineStr">
        <is>
          <t>Note</t>
        </is>
      </c>
      <c r="B10" t="inlineStr">
        <is>
          <t>Columns O and V use formulas. One row per instrument; columns A–O repeated per policy.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t>
        </is>
      </c>
      <c r="B1" t="inlineStr">
        <is>
          <t>Law</t>
        </is>
      </c>
      <c r="C1" t="inlineStr">
        <is>
          <t>Coded in 4P Index</t>
        </is>
      </c>
    </row>
    <row r="2">
      <c r="A2" t="inlineStr">
        <is>
          <t>1</t>
        </is>
      </c>
      <c r="B2" t="inlineStr">
        <is>
          <t>Lei 20/97 — Lei do Ambiente</t>
        </is>
      </c>
      <c r="C2" t="inlineStr">
        <is>
          <t>Yes</t>
        </is>
      </c>
    </row>
    <row r="3">
      <c r="A3" t="inlineStr">
        <is>
          <t>2</t>
        </is>
      </c>
      <c r="B3" t="inlineStr">
        <is>
          <t>Decreto 8/2003 — Resíduos Biomédicos</t>
        </is>
      </c>
      <c r="C3" t="inlineStr">
        <is>
          <t>Yes</t>
        </is>
      </c>
    </row>
    <row r="4">
      <c r="A4" t="inlineStr">
        <is>
          <t>3</t>
        </is>
      </c>
      <c r="B4" t="inlineStr">
        <is>
          <t>Decreto 18/2004 — Padrões de Qualidade Ambiental</t>
        </is>
      </c>
      <c r="C4" t="inlineStr">
        <is>
          <t>Yes</t>
        </is>
      </c>
    </row>
    <row r="5">
      <c r="A5" t="inlineStr">
        <is>
          <t>4</t>
        </is>
      </c>
      <c r="B5" t="inlineStr">
        <is>
          <t>Decreto 45/2006 — Poluição Marinho-Costeira</t>
        </is>
      </c>
      <c r="C5" t="inlineStr">
        <is>
          <t>Yes</t>
        </is>
      </c>
    </row>
    <row r="6">
      <c r="A6" t="inlineStr">
        <is>
          <t>5</t>
        </is>
      </c>
      <c r="B6" t="inlineStr">
        <is>
          <t>Decreto 19/2007 — Recursos Genéticos</t>
        </is>
      </c>
      <c r="C6" t="inlineStr">
        <is>
          <t>No</t>
        </is>
      </c>
    </row>
    <row r="7">
      <c r="A7" t="inlineStr">
        <is>
          <t>6</t>
        </is>
      </c>
      <c r="B7" t="inlineStr">
        <is>
          <t>Decreto 24/2008 — Camada de Ozono</t>
        </is>
      </c>
      <c r="C7" t="inlineStr">
        <is>
          <t>No</t>
        </is>
      </c>
    </row>
    <row r="8">
      <c r="A8" t="inlineStr">
        <is>
          <t>7</t>
        </is>
      </c>
      <c r="B8" t="inlineStr">
        <is>
          <t>Decreto 25/2008 — Espécies Invasivas</t>
        </is>
      </c>
      <c r="C8" t="inlineStr">
        <is>
          <t>No</t>
        </is>
      </c>
    </row>
    <row r="9">
      <c r="A9" t="inlineStr">
        <is>
          <t>8</t>
        </is>
      </c>
      <c r="B9" t="inlineStr">
        <is>
          <t>Decreto 55/2010 — Banimento do Amianto</t>
        </is>
      </c>
      <c r="C9" t="inlineStr">
        <is>
          <t>No</t>
        </is>
      </c>
    </row>
    <row r="10">
      <c r="A10" t="inlineStr">
        <is>
          <t>9</t>
        </is>
      </c>
      <c r="B10" t="inlineStr">
        <is>
          <t>Decreto 25/2011 — Auditoria Ambiental</t>
        </is>
      </c>
      <c r="C10" t="inlineStr">
        <is>
          <t>Yes</t>
        </is>
      </c>
    </row>
    <row r="11">
      <c r="A11" t="inlineStr">
        <is>
          <t>10</t>
        </is>
      </c>
      <c r="B11" t="inlineStr">
        <is>
          <t>Decreto 71/2014 — Biossegurança OGM</t>
        </is>
      </c>
      <c r="C11" t="inlineStr">
        <is>
          <t>No</t>
        </is>
      </c>
    </row>
    <row r="12">
      <c r="A12" t="inlineStr">
        <is>
          <t>11</t>
        </is>
      </c>
      <c r="B12" t="inlineStr">
        <is>
          <t>Decreto 83/2014 — Resíduos Perigosos</t>
        </is>
      </c>
      <c r="C12" t="inlineStr">
        <is>
          <t>Yes</t>
        </is>
      </c>
    </row>
    <row r="13">
      <c r="A13" t="inlineStr">
        <is>
          <t>12</t>
        </is>
      </c>
      <c r="B13" t="inlineStr">
        <is>
          <t>Decreto 94/2014 — Resíduos Sólidos Urbanos</t>
        </is>
      </c>
      <c r="C13" t="inlineStr">
        <is>
          <t>Yes</t>
        </is>
      </c>
    </row>
    <row r="14">
      <c r="A14" t="inlineStr">
        <is>
          <t>13</t>
        </is>
      </c>
      <c r="B14" t="inlineStr">
        <is>
          <t>Decreto 16/2015 — Saco de Plástico</t>
        </is>
      </c>
      <c r="C14" t="inlineStr">
        <is>
          <t>Yes</t>
        </is>
      </c>
    </row>
    <row r="15">
      <c r="A15" t="inlineStr">
        <is>
          <t>14</t>
        </is>
      </c>
      <c r="B15" t="inlineStr">
        <is>
          <t>Decreto 54/2015 — Avaliação de Impacto Ambiental</t>
        </is>
      </c>
      <c r="C15" t="inlineStr">
        <is>
          <t>Yes</t>
        </is>
      </c>
    </row>
    <row r="16">
      <c r="A16" t="inlineStr">
        <is>
          <t>15</t>
        </is>
      </c>
      <c r="B16" t="inlineStr">
        <is>
          <t>Decreto 79/2017 — Responsabilidade Alargada Embalagens</t>
        </is>
      </c>
      <c r="C16" t="inlineStr">
        <is>
          <t>Yes</t>
        </is>
      </c>
    </row>
    <row r="17">
      <c r="A17" t="inlineStr">
        <is>
          <t>16</t>
        </is>
      </c>
      <c r="B17" t="inlineStr">
        <is>
          <t>Decreto 23/2018 — REDD+</t>
        </is>
      </c>
      <c r="C1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2026-06-19T09:21:03Z</dcterms:created>
  <dcterms:modified xmlns:dcterms="http://purl.org/dc/terms/" xmlns:xsi="http://www.w3.org/2001/XMLSchema-instance" xsi:type="dcterms:W3CDTF">2026-06-19T09:21:03Z</dcterms:modified>
</cp:coreProperties>
</file>