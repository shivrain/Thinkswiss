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 name="Key Evidence &amp; Project Overview" sheetId="2" state="visible" r:id="rId2"/>
    <sheet name="Score Reference"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10">
    <font>
      <name val="Calibri"/>
      <family val="2"/>
      <color theme="1"/>
      <sz val="11"/>
      <scheme val="minor"/>
    </font>
    <font>
      <b val="1"/>
      <color rgb="00FFFFFF"/>
      <sz val="13"/>
    </font>
    <font>
      <color rgb="00FFFFFF"/>
      <sz val="9"/>
    </font>
    <font>
      <b val="1"/>
      <color rgb="00FFFFFF"/>
      <sz val="10"/>
    </font>
    <font>
      <b val="1"/>
      <color rgb="001F3864"/>
      <sz val="9"/>
    </font>
    <font>
      <b val="1"/>
      <color rgb="001F4E17"/>
      <sz val="9"/>
    </font>
    <font>
      <i val="1"/>
      <color rgb="00808080"/>
      <sz val="8"/>
    </font>
    <font>
      <color rgb="00000000"/>
      <sz val="9"/>
    </font>
    <font>
      <i val="1"/>
      <color rgb="007F3F00"/>
      <sz val="9"/>
    </font>
    <font>
      <b val="1"/>
      <color rgb="00000000"/>
      <sz val="9"/>
    </font>
  </fonts>
  <fills count="11">
    <fill>
      <patternFill/>
    </fill>
    <fill>
      <patternFill patternType="gray125"/>
    </fill>
    <fill>
      <patternFill patternType="solid">
        <fgColor rgb="001F3864"/>
      </patternFill>
    </fill>
    <fill>
      <patternFill patternType="solid">
        <fgColor rgb="002E75B6"/>
      </patternFill>
    </fill>
    <fill>
      <patternFill patternType="solid">
        <fgColor rgb="0017375E"/>
      </patternFill>
    </fill>
    <fill>
      <patternFill patternType="solid">
        <fgColor rgb="00C5D9F1"/>
      </patternFill>
    </fill>
    <fill>
      <patternFill patternType="solid">
        <fgColor rgb="00C4E1C0"/>
      </patternFill>
    </fill>
    <fill>
      <patternFill patternType="solid">
        <fgColor rgb="00D9E2F3"/>
      </patternFill>
    </fill>
    <fill>
      <patternFill patternType="solid">
        <fgColor rgb="00FCE4D6"/>
      </patternFill>
    </fill>
    <fill>
      <patternFill patternType="solid">
        <fgColor rgb="00E2EFDA"/>
      </patternFill>
    </fill>
    <fill>
      <patternFill patternType="solid">
        <fgColor rgb="00D9F0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7" fillId="7" borderId="1" applyAlignment="1" pivotButton="0" quotePrefix="0" xfId="0">
      <alignment horizontal="left" vertical="top" wrapText="1"/>
    </xf>
    <xf numFmtId="1" fontId="7" fillId="7" borderId="1" applyAlignment="1" pivotButton="0" quotePrefix="0" xfId="0">
      <alignment horizontal="center" vertical="center" wrapText="1"/>
    </xf>
    <xf numFmtId="2" fontId="7" fillId="7" borderId="1" applyAlignment="1" pivotButton="0" quotePrefix="0" xfId="0">
      <alignment horizontal="center" vertical="center" wrapText="1"/>
    </xf>
    <xf numFmtId="2" fontId="8" fillId="8" borderId="1" pivotButton="0" quotePrefix="0" xfId="0"/>
    <xf numFmtId="2" fontId="7" fillId="9" borderId="1" applyAlignment="1" pivotButton="0" quotePrefix="0" xfId="0">
      <alignment horizontal="center" vertical="center" wrapText="1"/>
    </xf>
    <xf numFmtId="0" fontId="7" fillId="9" borderId="1" applyAlignment="1" pivotButton="0" quotePrefix="0" xfId="0">
      <alignment horizontal="left" vertical="top" wrapText="1"/>
    </xf>
    <xf numFmtId="1" fontId="7" fillId="9" borderId="1" applyAlignment="1" pivotButton="0" quotePrefix="0" xfId="0">
      <alignment horizontal="center" vertical="center" wrapText="1"/>
    </xf>
    <xf numFmtId="164" fontId="8" fillId="8" borderId="1" pivotButton="0" quotePrefix="0" xfId="0"/>
    <xf numFmtId="0" fontId="6" fillId="0" borderId="0" pivotButton="0" quotePrefix="0" xfId="0"/>
    <xf numFmtId="2" fontId="7" fillId="10" borderId="1" applyAlignment="1" pivotButton="0" quotePrefix="0" xfId="0">
      <alignment horizontal="center" vertical="center" wrapText="1"/>
    </xf>
    <xf numFmtId="0" fontId="7" fillId="10" borderId="1" applyAlignment="1" pivotButton="0" quotePrefix="0" xfId="0">
      <alignment horizontal="left" vertical="top" wrapText="1"/>
    </xf>
    <xf numFmtId="1" fontId="7" fillId="10" borderId="1" applyAlignment="1" pivotButton="0" quotePrefix="0" xfId="0">
      <alignment horizontal="center" vertical="center" wrapText="1"/>
    </xf>
    <xf numFmtId="0" fontId="9" fillId="5" borderId="1" applyAlignment="1" pivotButton="0" quotePrefix="0" xfId="0">
      <alignment wrapText="1"/>
    </xf>
    <xf numFmtId="0" fontId="7" fillId="0" borderId="1" applyAlignment="1" pivotButton="0" quotePrefix="0" xfId="0">
      <alignment wrapText="1"/>
    </xf>
    <xf numFmtId="0" fontId="3" fillId="3" borderId="1" applyAlignment="1" pivotButton="0" quotePrefix="0" xfId="0">
      <alignment horizontal="center" vertical="center" wrapText="1"/>
    </xf>
    <xf numFmtId="0" fontId="9" fillId="5" borderId="1" pivotButton="0" quotePrefix="0" xfId="0"/>
    <xf numFmtId="2" fontId="7" fillId="0" borderId="1" applyAlignment="1" pivotButton="0" quotePrefix="0" xfId="0">
      <alignment horizontal="center" vertical="center" wrapText="1"/>
    </xf>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38" customWidth="1" min="2" max="2"/>
    <col width="8" customWidth="1" min="3" max="3"/>
    <col width="35" customWidth="1" min="4" max="4"/>
    <col width="8" customWidth="1" min="5" max="5"/>
    <col width="20" customWidth="1" min="6" max="6"/>
    <col width="8" customWidth="1" min="7" max="7"/>
    <col width="35" customWidth="1" min="8" max="8"/>
    <col width="9" customWidth="1" min="9" max="9"/>
    <col width="35" customWidth="1" min="10" max="10"/>
    <col width="8" customWidth="1" min="11" max="11"/>
    <col width="28" customWidth="1" min="12" max="12"/>
    <col width="8" customWidth="1" min="13" max="13"/>
    <col width="35" customWidth="1" min="14" max="14"/>
    <col width="9" customWidth="1" min="15" max="15"/>
    <col width="10" customWidth="1" min="16" max="16"/>
    <col width="18" customWidth="1" min="17" max="17"/>
    <col width="50" customWidth="1" min="18" max="18"/>
    <col width="10" customWidth="1" min="19" max="19"/>
    <col width="10" customWidth="1" min="20" max="20"/>
    <col width="50" customWidth="1" min="21" max="21"/>
    <col width="9" customWidth="1" min="22" max="22"/>
    <col width="50" customWidth="1" min="23" max="23"/>
    <col width="28" customWidth="1" min="24" max="24"/>
  </cols>
  <sheetData>
    <row r="1" ht="22" customHeight="1">
      <c r="A1" s="1" t="inlineStr">
        <is>
          <t>Plastic Pollution Policy Index (4P Index) — Coding Table</t>
        </is>
      </c>
    </row>
    <row r="2" ht="16" customHeight="1">
      <c r="A2" s="2" t="inlineStr">
        <is>
          <t>Policy: BBIN MPA Regional Transport and Trade Facilitation Program — Nepal Phase 1 ESMF (2022)  |  Country: Nepal  |  Year: 2022  |  Source: https://dor.gov.np/uploads/publicatio... [URL truncated in source image]</t>
        </is>
      </c>
    </row>
    <row r="3" ht="18" customHeight="1">
      <c r="A3" s="3" t="inlineStr">
        <is>
          <t>SECTION A — Policy-Level Fields  (repeated identically across all rows)</t>
        </is>
      </c>
      <c r="P3" s="4" t="inlineStr">
        <is>
          <t>SECTION B — Instrument-Level Fields  (one row per instrument)</t>
        </is>
      </c>
    </row>
    <row r="4" ht="36" customHeight="1">
      <c r="A4" s="5" t="inlineStr">
        <is>
          <t>Col A
policy_name</t>
        </is>
      </c>
      <c r="B4" s="5" t="inlineStr">
        <is>
          <t>Col B
policy_url</t>
        </is>
      </c>
      <c r="C4" s="5" t="inlineStr">
        <is>
          <t>Col C
policy_year</t>
        </is>
      </c>
      <c r="D4" s="5" t="inlineStr">
        <is>
          <t>Col D
policy_objective</t>
        </is>
      </c>
      <c r="E4" s="5" t="inlineStr">
        <is>
          <t>Col E
policy_target
(0/1)</t>
        </is>
      </c>
      <c r="F4" s="5" t="inlineStr">
        <is>
          <t>Col F
policy_target_text</t>
        </is>
      </c>
      <c r="G4" s="5" t="inlineStr">
        <is>
          <t>Col G
policy_type
(score)</t>
        </is>
      </c>
      <c r="H4" s="5" t="inlineStr">
        <is>
          <t>Col H
policy_type_justification</t>
        </is>
      </c>
      <c r="I4" s="5" t="inlineStr">
        <is>
          <t>Col I
policy_integration
(score)</t>
        </is>
      </c>
      <c r="J4" s="5" t="inlineStr">
        <is>
          <t>Col J
policy_sectors_list</t>
        </is>
      </c>
      <c r="K4" s="5" t="inlineStr">
        <is>
          <t>Col K
policy_circularity
(score)</t>
        </is>
      </c>
      <c r="L4" s="5" t="inlineStr">
        <is>
          <t>Col L
policy_lifecycle_phases_list</t>
        </is>
      </c>
      <c r="M4" s="5" t="inlineStr">
        <is>
          <t>Col M
policy_budget
(score)</t>
        </is>
      </c>
      <c r="N4" s="5" t="inlineStr">
        <is>
          <t>Col N
policy_budget_text</t>
        </is>
      </c>
      <c r="O4" s="5" t="inlineStr">
        <is>
          <t>Col O
policy_score
[auto]</t>
        </is>
      </c>
      <c r="P4" s="6" t="inlineStr">
        <is>
          <t>Col P
instrument_type
(score)</t>
        </is>
      </c>
      <c r="Q4" s="6" t="inlineStr">
        <is>
          <t>Col Q
instrument_lifecycle_stage</t>
        </is>
      </c>
      <c r="R4" s="6" t="inlineStr">
        <is>
          <t>Col R
instrument_description</t>
        </is>
      </c>
      <c r="S4" s="6" t="inlineStr">
        <is>
          <t>Col S
instrument_in_force
(0/1)</t>
        </is>
      </c>
      <c r="T4" s="6" t="inlineStr">
        <is>
          <t>Col T
instrument_implementation
(score)</t>
        </is>
      </c>
      <c r="U4" s="6" t="inlineStr">
        <is>
          <t>Col U
instrument_implementation_text</t>
        </is>
      </c>
      <c r="V4" s="6" t="inlineStr">
        <is>
          <t>Col V
instrument_score
[auto]</t>
        </is>
      </c>
      <c r="W4" s="6" t="inlineStr">
        <is>
          <t>Col W
comments</t>
        </is>
      </c>
      <c r="X4" s="6" t="inlineStr">
        <is>
          <t>Col X
—</t>
        </is>
      </c>
    </row>
    <row r="5" ht="260" customHeight="1">
      <c r="A5" s="7" t="inlineStr">
        <is>
          <t>Bangladesh-Bhutan-India-Nepal (BBIN) Multi-phase Programmatic Approach (MPA) Regional Transport and Trade Facilitation Program - Nepal Phase 1
Environmental and Social Management Framework (ESMF)</t>
        </is>
      </c>
      <c r="B5" s="7" t="inlineStr">
        <is>
          <t>https://dor.gov.np/uploads/publicatio... [URL truncated in source image — document published by Government of Nepal, Ministry of Public Infrastructure and Transport, Department of Roads and Ministry of Industries, Commerce and Supplies]</t>
        </is>
      </c>
      <c r="C5" s="8" t="n">
        <v>2022</v>
      </c>
      <c r="D5" s="7" t="inlineStr">
        <is>
          <t>Environmental and Social Management Framework (ESMF) for the World Bank-financed BBIN MPA Nepal Phase 1 project, which involves: (1) digital/automated trade and customs facilitation systems; (2) upgrading of the Butwal-Gorusinghe-Chanauta section of the East-West Highway from 2 to 4 lanes; (3) construction of a bridge; and (4) capacity building for trade policy reforms. In relation to plastics: the ESMF mandates contractors to develop and implement Solid Waste Management Plans (SWMPs) covering plastic and other construction waste; specifies that contaminated and worn plastic sheeting used on construction sites must be packed into drums and disposed of off-site; and requires compliance with World Bank ESS3 Resource Efficiency and Pollution Prevention standards to prevent plastic waste from contaminating water bodies.</t>
        </is>
      </c>
      <c r="E5" s="9" t="n">
        <v>0</v>
      </c>
      <c r="F5" s="7" t="inlineStr"/>
      <c r="G5" s="9" t="n">
        <v>0.25</v>
      </c>
      <c r="H5" s="7" t="inlineStr">
        <is>
          <t>Environmental and Social Management Framework (ESMF) prepared in January 2022 by the Government of Nepal (Ministry of Public Infrastructure and Transport, Department of Roads, Ministry of Industries, Commerce and Supplies) as a condition for World Bank financing. Not enacted by Parliament and not a national regulation/decree — it is a project-level environmental governance/safeguard framework binding on project implementers and contractors within the project context only.
NOTE: This is a PROJECT-LEVEL environmental safeguard document (ESMF) prepared for a specific infrastructure investment, not a standalone national plastic pollution policy. It creates binding obligations through contract conditions (ESHS conditions in bidding documents) rather than through national legislation. Scored 0.25 as the lowest available category, equivalent to a strategy/plan document.
Components: Component 1 (trade facilitation — ASYCUDA, border management systems), Component 2 (East-West Highway upgrade + bridge + green highway concept), Component 3 (capacity building — trade/transport reforms). Implementing agencies: Department of Roads (DOR) for road works; Ministry of Industries, Commerce and Supplies (MOICS) for trade components.</t>
        </is>
      </c>
      <c r="I5" s="9" t="n">
        <v>0.75</v>
      </c>
      <c r="J5" s="7" t="inlineStr">
        <is>
          <t>transport/infrastructure, waste management, environment, water, occupational health, trade/customs</t>
        </is>
      </c>
      <c r="K5" s="9" t="n">
        <v>0.75</v>
      </c>
      <c r="L5" s="7" t="inlineStr">
        <is>
          <t>consumption, disposal, environmental leakage</t>
        </is>
      </c>
      <c r="M5" s="9" t="n">
        <v>0.5</v>
      </c>
      <c r="N5" s="7" t="inlineStr">
        <is>
          <t>Section 8.6 (p.107): 'Budgets for Implementation of ESMF' — the ESMF includes a dedicated budget section for environmental and social management. The project is financed by the World Bank (IDA financing). ESMF implementation costs are to be included in overall project budgets. Section 8.4: 'Capacity Building of DOR and MOICS' includes budgets for ESMF training and capacity building. Budget exists for overall ESMF implementation but is not ring-fenced specifically for plastic waste management.</t>
        </is>
      </c>
      <c r="O5" s="10">
        <f>AVERAGE(G5,I5,K5,M5,P5)</f>
        <v/>
      </c>
      <c r="P5" s="11" t="n">
        <v>0.2</v>
      </c>
      <c r="Q5" s="12" t="inlineStr">
        <is>
          <t>Waste management</t>
        </is>
      </c>
      <c r="R5" s="13" t="inlineStr">
        <is>
          <t>Section 5.3 Impacts and Risk Mitigation Measures Table (p.20) — Construction Stage, Solid Waste Management:
'Develop a Solid Waste Management Plan to manage solid wastes during road construction and operations. Ensure appropriate disposal sites for muck and rock cuttings as well as proper management of solid and hazardous waste.'
Responsible agencies: Contractors (implementation), PMUs and CSCs (supervision/monitoring).
Section 2.6 and Table 2.5 (p.4/20): Environmental, Health and Safety (ESHS) conditions are made mandatory in all bidding documents, requiring contractors to comply with ESMF provisions including the SWMP during project execution.
Also covered by ESS3: Resource Efficiency and Pollution Prevention (Table 3.1, p.39): 'Resource efficiency and pollution prevention in any project activity will be captured in ESIA/ESMP preparation.' This includes solid waste management to prevent plastic and other construction waste from entering water bodies (Section 6.3.2, p.76: 'The construction/maintenance contractor will require developing a waste management plan which details the use, storage and disposal of toxic, solid and sanitary waste and materials. No direct spillage of petrochemical or toxic materials should be allowed into the aquatic ecosystem.')</t>
        </is>
      </c>
      <c r="S5" s="13" t="n">
        <v>1</v>
      </c>
      <c r="T5" s="11" t="n">
        <v>1</v>
      </c>
      <c r="U5" s="12" t="inlineStr">
        <is>
          <t>Responsible authority (+0.25): 'Contractors' designated as implementing agency; 'PMUs and CSCs' designated as supervision/monitoring authorities (Impacts Table, p.20). Section 8.5 (p.106): 'Roles and Responsibilities of Implementing Agencies' explicitly assigns ESMF oversight to DOR and MOICS.
Enforcement (+0.25): Section 2.6 and Table 2.5 state that ESHS conditions are included in bidding documents — contractual enforcement mechanism. Table 3.2 (p.41): 'The ESMP to be prepared shall be made integral part of bidding document so that the Contractor shall adhere to the provisions prescribed in the ESMP during execution of the project.' Non-compliance triggers contractual remedies.
Monitoring (+0.25): p.20 designates 'PMUs and CSCs' for supervision of SWMP implementation. Section 7 (Monitoring) and Section 8.2-8.3 describe monitoring responsibilities of DOR and MOICS. Table 2.4 (p.4): Sample Monitoring Plan included in ESMF provides monitoring framework for all environmental requirements.
Unconditional (+0.25): The SWMP requirement applies to ALL construction subprojects under the BBIN 1 project with no stated exemptions — all contractors must comply.</t>
        </is>
      </c>
      <c r="V5" s="14">
        <f>AVERAGE(P5,T5)</f>
        <v/>
      </c>
      <c r="W5" s="12" t="inlineStr">
        <is>
          <t>P = 0.20 (Governance &amp; coordination — planning requirement): The ESMF mandates that contractors develop and implement Solid Waste Management Plans. This is a planning requirement creating a governance obligation (SWMP = a coordination and management planning instrument), not a direct regulatory ban or economic incentive.
This instrument passes the plastics relevance filter under criterion (c): 'waste management or governance instrument that commonly applies to plastic waste streams in practice' — specifically waste hierarchy obligations and construction waste management planning.
S = 1: The ESMF is in force as a project safeguard document — all contractors are contractually bound to comply through ESHS conditions in bidding documents. The ESMF uses mandatory language throughout ('shall', 'will be required to', 'must').
T = 1.0: All four sub-scores explicitly evidenced (authority, enforcement, monitoring, unconditional). High T despite low P (0.20) because the ESMF's governance mechanisms are very well-specified with clear responsibilities, contractual enforcement, and monitoring frameworks.</t>
        </is>
      </c>
      <c r="X5" s="15" t="inlineStr">
        <is>
          <t>Instrument 1 — Mandatory Solid Waste Management Plan (SWMP) + ESS3 pollution prevention for all construction subprojects</t>
        </is>
      </c>
    </row>
    <row r="6" ht="260" customHeight="1">
      <c r="A6" s="7" t="inlineStr">
        <is>
          <t>Bangladesh-Bhutan-India-Nepal (BBIN) Multi-phase Programmatic Approach (MPA) Regional Transport and Trade Facilitation Program - Nepal Phase 1
Environmental and Social Management Framework (ESMF)</t>
        </is>
      </c>
      <c r="B6" s="7" t="inlineStr">
        <is>
          <t>https://dor.gov.np/uploads/publicatio... [URL truncated in source image — document published by Government of Nepal, Ministry of Public Infrastructure and Transport, Department of Roads and Ministry of Industries, Commerce and Supplies]</t>
        </is>
      </c>
      <c r="C6" s="8" t="n">
        <v>2022</v>
      </c>
      <c r="D6" s="7" t="inlineStr">
        <is>
          <t>Environmental and Social Management Framework (ESMF) for the World Bank-financed BBIN MPA Nepal Phase 1 project, which involves: (1) digital/automated trade and customs facilitation systems; (2) upgrading of the Butwal-Gorusinghe-Chanauta section of the East-West Highway from 2 to 4 lanes; (3) construction of a bridge; and (4) capacity building for trade policy reforms. In relation to plastics: the ESMF mandates contractors to develop and implement Solid Waste Management Plans (SWMPs) covering plastic and other construction waste; specifies that contaminated and worn plastic sheeting used on construction sites must be packed into drums and disposed of off-site; and requires compliance with World Bank ESS3 Resource Efficiency and Pollution Prevention standards to prevent plastic waste from contaminating water bodies.</t>
        </is>
      </c>
      <c r="E6" s="9" t="n">
        <v>0</v>
      </c>
      <c r="F6" s="7" t="inlineStr"/>
      <c r="G6" s="9" t="n">
        <v>0.25</v>
      </c>
      <c r="H6" s="7" t="inlineStr">
        <is>
          <t>Environmental and Social Management Framework (ESMF) prepared in January 2022 by the Government of Nepal (Ministry of Public Infrastructure and Transport, Department of Roads, Ministry of Industries, Commerce and Supplies) as a condition for World Bank financing. Not enacted by Parliament and not a national regulation/decree — it is a project-level environmental governance/safeguard framework binding on project implementers and contractors within the project context only.
NOTE: This is a PROJECT-LEVEL environmental safeguard document (ESMF) prepared for a specific infrastructure investment, not a standalone national plastic pollution policy. It creates binding obligations through contract conditions (ESHS conditions in bidding documents) rather than through national legislation. Scored 0.25 as the lowest available category, equivalent to a strategy/plan document.
Components: Component 1 (trade facilitation — ASYCUDA, border management systems), Component 2 (East-West Highway upgrade + bridge + green highway concept), Component 3 (capacity building — trade/transport reforms). Implementing agencies: Department of Roads (DOR) for road works; Ministry of Industries, Commerce and Supplies (MOICS) for trade components.</t>
        </is>
      </c>
      <c r="I6" s="9" t="n">
        <v>0.75</v>
      </c>
      <c r="J6" s="7" t="inlineStr">
        <is>
          <t>transport/infrastructure, waste management, environment, water, occupational health, trade/customs</t>
        </is>
      </c>
      <c r="K6" s="9" t="n">
        <v>0.75</v>
      </c>
      <c r="L6" s="7" t="inlineStr">
        <is>
          <t>consumption, disposal, environmental leakage</t>
        </is>
      </c>
      <c r="M6" s="9" t="n">
        <v>0.5</v>
      </c>
      <c r="N6" s="7" t="inlineStr">
        <is>
          <t>Section 8.6 (p.107): 'Budgets for Implementation of ESMF' — the ESMF includes a dedicated budget section for environmental and social management. The project is financed by the World Bank (IDA financing). ESMF implementation costs are to be included in overall project budgets. Section 8.4: 'Capacity Building of DOR and MOICS' includes budgets for ESMF training and capacity building. Budget exists for overall ESMF implementation but is not ring-fenced specifically for plastic waste management.</t>
        </is>
      </c>
      <c r="O6" s="10">
        <f>AVERAGE(G6,I6,K6,M6,P6)</f>
        <v/>
      </c>
      <c r="P6" s="16" t="n">
        <v>1</v>
      </c>
      <c r="Q6" s="17" t="inlineStr">
        <is>
          <t>Waste management</t>
        </is>
      </c>
      <c r="R6" s="18" t="inlineStr">
        <is>
          <t>Section 6.3.2.13 — Avoiding Hazards Caused by Storage of Hazardous Materials (p.74): Mitigative Measures include:
'Hazardous materials should be stored only on impervious (concrete or plastic sheeting as approved by Engineer) floor with drainage and collection sump so as to retain leaks and spills.'
'Contaminated and worn plastic sheeting shall be packed into drums and disposed off site.'
This provision explicitly names plastic materials (plastic sheeting used as impervious flooring for hazardous materials storage) and mandates specific waste disposal actions: all contaminated and worn plastic sheeting used on construction sites must be collected, packed into drums, and disposed of at an approved off-site location — preventing plastic pollution of construction site environments and surrounding water bodies.</t>
        </is>
      </c>
      <c r="S6" s="18" t="n">
        <v>1</v>
      </c>
      <c r="T6" s="16" t="n">
        <v>1</v>
      </c>
      <c r="U6" s="17" t="inlineStr">
        <is>
          <t>Responsible authority (+0.25): Contractors responsible for implementation (implied by the context of Section 6.3 Mitigative Measures for contractors); CSCs as supervision authority (general ESMF monitoring framework — p.20 designates PMUs/CSCs for all mitigation measure oversight).
Enforcement (+0.25): ESHS conditions in bidding documents contractually bind contractors to all mitigation measures in the ESMF, including plastic sheeting disposal (Section 2.6). Non-compliance constitutes a breach of contract.
Monitoring (+0.25): PMUs and CSCs monitor implementation of all Section 6 mitigative measures, including hazardous materials management (p.20-21). Compliance with hazardous materials management plans is explicitly monitored.
Unconditional (+0.25): 'Contaminated and worn plastic sheeting shall be packed into drums and disposed off site' — no exceptions stated; mandatory language ('shall'); applies to all plastic sheeting used on all construction sites under the project.</t>
        </is>
      </c>
      <c r="V6" s="14">
        <f>AVERAGE(P6,T6)</f>
        <v/>
      </c>
      <c r="W6" s="17" t="inlineStr">
        <is>
          <t>P = 1.0 (Regulatory — mandatory disposal standard for plastic construction materials): The provision uses mandatory language ('shall be packed into drums and disposed off site') for a specific plastic material (plastic sheeting). This constitutes a mandatory performance/disposal standard for plastic waste from construction activities.
This instrument passes the plastics relevance filter under criterion (a): explicitly mentions 'plastic sheeting' as a construction material requiring specific waste management treatment.
S = 1: Mandatory language 'shall be packed into drums and disposed off site' — language test confirms in-force status.
T = 1.0: All four sub-scores met (authority via overall ESMF structure, enforcement via bidding document conditions, monitoring via PMU/CSC oversight, unconditional since no exemptions stated for this specific provision).
CONTEXT: The provision is in the context of preventing environmental contamination from hazardous materials (e.g., chemicals, bitumen, oils) used in road construction. Plastic sheeting is used as an impervious lining under hazardous material storage areas; when contaminated, it becomes a plastic waste item requiring controlled disposal. This prevents contaminated plastic waste from being discarded in the natural environment around the construction site — preventing plastic pollution of roadside areas and waterways (environmental leakage prevention).</t>
        </is>
      </c>
      <c r="X6" s="15" t="inlineStr">
        <is>
          <t>Instrument 2 — Mandatory proper disposal of contaminated/worn plastic sheeting from construction sites (Section 6.3.2.13)</t>
        </is>
      </c>
    </row>
  </sheetData>
  <mergeCells count="4">
    <mergeCell ref="A2:X2"/>
    <mergeCell ref="P3:X3"/>
    <mergeCell ref="A3:O3"/>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8" customWidth="1" min="1" max="1"/>
    <col width="82" customWidth="1" min="2" max="2"/>
  </cols>
  <sheetData>
    <row r="1" ht="50" customHeight="1">
      <c r="A1" s="3" t="inlineStr">
        <is>
          <t>DOCUMENT OVERVIEW</t>
        </is>
      </c>
    </row>
    <row r="2" ht="50" customHeight="1">
      <c r="A2" s="19" t="inlineStr">
        <is>
          <t>Field</t>
        </is>
      </c>
      <c r="B2" s="19" t="inlineStr">
        <is>
          <t>Details</t>
        </is>
      </c>
    </row>
    <row r="3" ht="50" customHeight="1">
      <c r="A3" s="20" t="inlineStr">
        <is>
          <t>Full title</t>
        </is>
      </c>
      <c r="B3" s="20" t="inlineStr">
        <is>
          <t>Bangladesh-Bhutan-India-Nepal (BBIN) Multi-phase Programmatic Approach (MPA) Regional Transport and Trade Facilitation Program - Nepal Phase 1: Environmental and Social Management Framework (ESMF)</t>
        </is>
      </c>
    </row>
    <row r="4" ht="50" customHeight="1">
      <c r="A4" s="20" t="inlineStr">
        <is>
          <t>Published</t>
        </is>
      </c>
      <c r="B4" s="20" t="inlineStr">
        <is>
          <t>January 2022</t>
        </is>
      </c>
    </row>
    <row r="5" ht="50" customHeight="1">
      <c r="A5" s="20" t="inlineStr">
        <is>
          <t>Prepared by</t>
        </is>
      </c>
      <c r="B5" s="20" t="inlineStr">
        <is>
          <t>Government of Nepal: Ministry of Public Infrastructure and Transport; Department of Roads (DOR); Ministry of Industries, Commerce and Supplies (MOICS)</t>
        </is>
      </c>
    </row>
    <row r="6" ht="50" customHeight="1">
      <c r="A6" s="20" t="inlineStr">
        <is>
          <t>Financed by</t>
        </is>
      </c>
      <c r="B6" s="20" t="inlineStr">
        <is>
          <t>World Bank (IDA financing)</t>
        </is>
      </c>
    </row>
    <row r="7" ht="50" customHeight="1">
      <c r="A7" s="20" t="inlineStr">
        <is>
          <t>Document type</t>
        </is>
      </c>
      <c r="B7" s="20" t="inlineStr">
        <is>
          <t>Environmental and Social Management Framework (ESMF) — project safeguard document</t>
        </is>
      </c>
    </row>
    <row r="8" ht="50" customHeight="1"/>
    <row r="9" ht="50" customHeight="1">
      <c r="A9" s="3" t="inlineStr">
        <is>
          <t>PROJECT COMPONENTS</t>
        </is>
      </c>
    </row>
    <row r="10" ht="50" customHeight="1">
      <c r="A10" s="19" t="inlineStr">
        <is>
          <t>Component</t>
        </is>
      </c>
      <c r="B10" s="19" t="inlineStr">
        <is>
          <t>Description</t>
        </is>
      </c>
    </row>
    <row r="11" ht="50" customHeight="1">
      <c r="A11" s="20" t="inlineStr">
        <is>
          <t>Component 1: Trade facilitation</t>
        </is>
      </c>
      <c r="B11" s="20" t="inlineStr">
        <is>
          <t>(a) Development of ASYCUDA World new modules; (b) Development of Automated Border Management System (ABMS)</t>
        </is>
      </c>
    </row>
    <row r="12" ht="50" customHeight="1">
      <c r="A12" s="20" t="inlineStr">
        <is>
          <t>Component 2: Transport infrastructure</t>
        </is>
      </c>
      <c r="B12" s="20" t="inlineStr">
        <is>
          <t>(a) Upgrading Butwal-Gorusinghe-Chanauta section of East-West Highway from 2 to 4 lanes; (b) Construction of signature bridge; (c) Green resilient highway concept; (d) Upgradation of trade facilities</t>
        </is>
      </c>
    </row>
    <row r="13" ht="50" customHeight="1">
      <c r="A13" s="20" t="inlineStr">
        <is>
          <t>Component 3: Capacity building</t>
        </is>
      </c>
      <c r="B13" s="20" t="inlineStr">
        <is>
          <t>(a) Transport and trade reforms; (b) Local community support; (c) Training programs; (d) Project preparation studies</t>
        </is>
      </c>
    </row>
    <row r="14" ht="50" customHeight="1"/>
    <row r="15" ht="50" customHeight="1">
      <c r="A15" s="3" t="inlineStr">
        <is>
          <t>KEY PLASTIC-RELEVANT TEXT (verbatim)</t>
        </is>
      </c>
    </row>
    <row r="16" ht="50" customHeight="1">
      <c r="A16" s="19" t="inlineStr">
        <is>
          <t>Location</t>
        </is>
      </c>
      <c r="B16" s="19" t="inlineStr">
        <is>
          <t>Text</t>
        </is>
      </c>
    </row>
    <row r="17" ht="50" customHeight="1">
      <c r="A17" s="20" t="inlineStr">
        <is>
          <t>Section 5.3, p.20 — SWMP requirement</t>
        </is>
      </c>
      <c r="B17" s="20" t="inlineStr">
        <is>
          <t>'Solid waste management: Develop a Solid Waste Management Plan to manage solid wastes during road construction and operations. Ensure appropriate disposal sites for muck and rock cuttings as well as proper management of solid and hazardous waste.' [Contractors: implementation; PMUs and CSCs: supervision]</t>
        </is>
      </c>
    </row>
    <row r="18" ht="50" customHeight="1">
      <c r="A18" s="20" t="inlineStr">
        <is>
          <t>Section 6.3.2, p.76 — No spillage</t>
        </is>
      </c>
      <c r="B18" s="20" t="inlineStr">
        <is>
          <t>'The construction/maintenance contractor will require developing a waste management plan which details the use, storage and disposal of toxic, solid and sanitary waste and materials. No direct spillage of petrochemical or toxic materials should be allowed into the aquatic ecosystem.'</t>
        </is>
      </c>
    </row>
    <row r="19" ht="50" customHeight="1">
      <c r="A19" s="20" t="inlineStr">
        <is>
          <t>Section 6.3.2.13, p.74 — Plastic sheeting disposal (KEY)</t>
        </is>
      </c>
      <c r="B19" s="20" t="inlineStr">
        <is>
          <t>'Contaminated and worn plastic sheeting shall be packed into drums and disposed off site.'
'Hazardous materials should be stored only on impervious (concrete or plastic sheeting as approved by Engineer) floor with drainage and collection sump so as to retain leaks and spills.'</t>
        </is>
      </c>
    </row>
    <row r="20" ht="50" customHeight="1">
      <c r="A20" s="20" t="inlineStr">
        <is>
          <t>Table 3.2 / ESS3, p.41 — Pollution prevention</t>
        </is>
      </c>
      <c r="B20" s="20" t="inlineStr">
        <is>
          <t>'Resource efficiency and pollution prevention in any project activity will be captured in ESIA/ESMP preparation. WBG EHS guidelines or/national standards (depending on which one is stricter) related to environmental protection and resource efficiency will be complied with by the project.'</t>
        </is>
      </c>
    </row>
    <row r="21" ht="50" customHeight="1">
      <c r="A21" s="20" t="inlineStr">
        <is>
          <t>Table 2.1 / ESHS in bidding docs, p.4</t>
        </is>
      </c>
      <c r="B21" s="20" t="inlineStr">
        <is>
          <t>'ESHS Conditions in the Bidding Documents — The ESMP to be prepared shall be made integral part of bidding document so that the Contractor shall adhere to the provisions prescribed in the ESMP during execution of the project.'</t>
        </is>
      </c>
    </row>
    <row r="22" ht="50" customHeight="1"/>
    <row r="23" ht="50" customHeight="1">
      <c r="A23" s="3" t="inlineStr">
        <is>
          <t>SCORE SUMMARY</t>
        </is>
      </c>
    </row>
    <row r="24" ht="50" customHeight="1">
      <c r="A24" s="19" t="inlineStr">
        <is>
          <t>Field</t>
        </is>
      </c>
      <c r="B24" s="19" t="inlineStr">
        <is>
          <t>Value</t>
        </is>
      </c>
    </row>
    <row r="25" ht="50" customHeight="1">
      <c r="A25" s="20" t="inlineStr">
        <is>
          <t>CRITICAL NOTE</t>
        </is>
      </c>
      <c r="B25" s="20" t="inlineStr">
        <is>
          <t>This is a PROJECT-LEVEL ESMF (environmental safeguard document for a World Bank-funded infrastructure project), not a standalone national plastic pollution policy. Its plastic-relevant instruments operate through contractual enforcement mechanisms (bidding document conditions), not through national legislation or regulation.</t>
        </is>
      </c>
    </row>
    <row r="26" ht="50" customHeight="1">
      <c r="A26" s="20" t="inlineStr">
        <is>
          <t>policy_type (G)</t>
        </is>
      </c>
      <c r="B26" s="20" t="inlineStr">
        <is>
          <t>0.25  (project-level safeguard/governance framework — not national legislation)</t>
        </is>
      </c>
    </row>
    <row r="27" ht="50" customHeight="1">
      <c r="A27" s="20" t="inlineStr">
        <is>
          <t>policy_target (E)</t>
        </is>
      </c>
      <c r="B27" s="20" t="inlineStr">
        <is>
          <t>0  (no quantifiable plastic-specific targets)</t>
        </is>
      </c>
    </row>
    <row r="28" ht="50" customHeight="1">
      <c r="A28" s="20" t="inlineStr">
        <is>
          <t>policy_integration (I)</t>
        </is>
      </c>
      <c r="B28" s="20" t="inlineStr">
        <is>
          <t>0.75  (6 sectors: transport/infrastructure, waste management, environment, water, occupational health, trade/customs)</t>
        </is>
      </c>
    </row>
    <row r="29" ht="50" customHeight="1">
      <c r="A29" s="20" t="inlineStr">
        <is>
          <t>policy_circularity (K)</t>
        </is>
      </c>
      <c r="B29" s="20" t="inlineStr">
        <is>
          <t>0.75  (consumption, disposal, environmental leakage — 3 lifecycle phases)</t>
        </is>
      </c>
    </row>
    <row r="30" ht="50" customHeight="1">
      <c r="A30" s="20" t="inlineStr">
        <is>
          <t>policy_budget (M)</t>
        </is>
      </c>
      <c r="B30" s="20" t="inlineStr">
        <is>
          <t>0.50  (World Bank IDA financing + ESMF implementation budget in Section 8.6; not ring-fenced for plastic)</t>
        </is>
      </c>
    </row>
    <row r="31" ht="50" customHeight="1"/>
    <row r="32" ht="50" customHeight="1">
      <c r="A32" s="20" t="inlineStr">
        <is>
          <t>Instr. 1: Mandatory SWMP + ESS3 pollution prevention</t>
        </is>
      </c>
      <c r="B32" s="20" t="inlineStr">
        <is>
          <t>P=0.20 | S=1 | T=1.00 | V=[auto 0.600]</t>
        </is>
      </c>
    </row>
    <row r="33" ht="50" customHeight="1">
      <c r="A33" s="20" t="inlineStr">
        <is>
          <t>Instr. 2: Mandatory disposal of contaminated plastic sheeting (Sec.6.3.2.13)</t>
        </is>
      </c>
      <c r="B33" s="20" t="inlineStr">
        <is>
          <t>P=1.00 | S=1 | T=1.00 | V=[auto 1.000]</t>
        </is>
      </c>
    </row>
  </sheetData>
  <mergeCells count="4">
    <mergeCell ref="A9:B9"/>
    <mergeCell ref="A23:B23"/>
    <mergeCell ref="A1:B1"/>
    <mergeCell ref="A15:B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4" customWidth="1" min="1" max="1"/>
    <col width="70" customWidth="1" min="2" max="2"/>
  </cols>
  <sheetData>
    <row r="1" ht="18" customHeight="1">
      <c r="A1" s="21" t="inlineStr">
        <is>
          <t>POLICY TYPE (Col G)</t>
        </is>
      </c>
    </row>
    <row r="2" ht="18" customHeight="1">
      <c r="A2" s="22" t="inlineStr">
        <is>
          <t>Score</t>
        </is>
      </c>
      <c r="B2" s="22" t="inlineStr">
        <is>
          <t>Description</t>
        </is>
      </c>
    </row>
    <row r="3" ht="18" customHeight="1">
      <c r="A3" s="23" t="n">
        <v>0.25</v>
      </c>
      <c r="B3" s="24" t="inlineStr">
        <is>
          <t>Strategy/plan — aspirational [used here for project-level ESMF]</t>
        </is>
      </c>
    </row>
    <row r="4" ht="18" customHeight="1">
      <c r="A4" s="23" t="n">
        <v>0.5</v>
      </c>
      <c r="B4" s="24" t="inlineStr">
        <is>
          <t>Strategy/plan with quantifiable targets</t>
        </is>
      </c>
    </row>
    <row r="5" ht="18" customHeight="1">
      <c r="A5" s="23" t="n">
        <v>0.75</v>
      </c>
      <c r="B5" s="24" t="inlineStr">
        <is>
          <t>Regulation or executive decree (sub-legislative)</t>
        </is>
      </c>
    </row>
    <row r="6" ht="18" customHeight="1">
      <c r="A6" s="23" t="n">
        <v>1</v>
      </c>
      <c r="B6" s="24" t="inlineStr">
        <is>
          <t>Legislation (parliament)</t>
        </is>
      </c>
    </row>
    <row r="7" ht="18" customHeight="1">
      <c r="A7" s="24" t="inlineStr"/>
    </row>
    <row r="8" ht="18" customHeight="1">
      <c r="A8" s="21" t="inlineStr">
        <is>
          <t>INSTRUMENT TYPE (Col P)</t>
        </is>
      </c>
    </row>
    <row r="9" ht="18" customHeight="1">
      <c r="A9" s="22" t="inlineStr">
        <is>
          <t>Score</t>
        </is>
      </c>
      <c r="B9" s="22" t="inlineStr">
        <is>
          <t>Description</t>
        </is>
      </c>
    </row>
    <row r="10" ht="18" customHeight="1">
      <c r="A10" s="23" t="n">
        <v>0</v>
      </c>
      <c r="B10" s="24" t="inlineStr">
        <is>
          <t>No instrument</t>
        </is>
      </c>
    </row>
    <row r="11" ht="18" customHeight="1">
      <c r="A11" s="23" t="n">
        <v>0.2</v>
      </c>
      <c r="B11" s="24" t="inlineStr">
        <is>
          <t>Governance &amp; coordination (planning requirement, SWMP)</t>
        </is>
      </c>
    </row>
    <row r="12" ht="18" customHeight="1">
      <c r="A12" s="23" t="n">
        <v>0.4</v>
      </c>
      <c r="B12" s="24" t="inlineStr">
        <is>
          <t>Information &amp; voluntary</t>
        </is>
      </c>
    </row>
    <row r="13" ht="18" customHeight="1">
      <c r="A13" s="23" t="n">
        <v>0.6</v>
      </c>
      <c r="B13" s="24" t="inlineStr">
        <is>
          <t>Economic</t>
        </is>
      </c>
    </row>
    <row r="14" ht="18" customHeight="1">
      <c r="A14" s="23" t="n">
        <v>0.8</v>
      </c>
      <c r="B14" s="24" t="inlineStr">
        <is>
          <t>Infrastructure</t>
        </is>
      </c>
    </row>
    <row r="15" ht="18" customHeight="1">
      <c r="A15" s="23" t="n">
        <v>1</v>
      </c>
      <c r="B15" s="24" t="inlineStr">
        <is>
          <t>Regulatory (ban, EPR, mandatory disposal standard)</t>
        </is>
      </c>
    </row>
    <row r="16" ht="18" customHeight="1">
      <c r="A16" s="24" t="inlineStr"/>
    </row>
    <row r="17" ht="18" customHeight="1">
      <c r="A17" s="21" t="inlineStr">
        <is>
          <t>INSTRUMENT IN FORCE (Col S)</t>
        </is>
      </c>
    </row>
    <row r="18" ht="18" customHeight="1">
      <c r="A18" s="22" t="inlineStr">
        <is>
          <t>Score</t>
        </is>
      </c>
      <c r="B18" s="22" t="inlineStr">
        <is>
          <t>Description</t>
        </is>
      </c>
    </row>
    <row r="19" ht="18" customHeight="1">
      <c r="A19" s="23" t="n">
        <v>0</v>
      </c>
      <c r="B19" s="24" t="inlineStr">
        <is>
          <t>Not in force — enabling power not exercised</t>
        </is>
      </c>
    </row>
    <row r="20" ht="18" customHeight="1">
      <c r="A20" s="23" t="n">
        <v>1</v>
      </c>
      <c r="B20" s="24" t="inlineStr">
        <is>
          <t>In force — mandatory language (shall/must) or operationalised via contract conditions</t>
        </is>
      </c>
    </row>
    <row r="21" ht="18" customHeight="1">
      <c r="A21" s="24" t="inlineStr"/>
    </row>
    <row r="22" ht="18" customHeight="1">
      <c r="A22" s="21" t="inlineStr">
        <is>
          <t>INSTRUMENT IMPLEMENTATION (Col T)</t>
        </is>
      </c>
    </row>
    <row r="23" ht="18" customHeight="1">
      <c r="A23" s="22" t="inlineStr">
        <is>
          <t>Sub-score</t>
        </is>
      </c>
      <c r="B23" s="22" t="inlineStr">
        <is>
          <t>Criterion (must be explicitly evidenced)</t>
        </is>
      </c>
    </row>
    <row r="24" ht="18" customHeight="1">
      <c r="A24" s="24" t="inlineStr">
        <is>
          <t>+0.25</t>
        </is>
      </c>
      <c r="B24" s="24" t="inlineStr">
        <is>
          <t>Responsible authority designated</t>
        </is>
      </c>
    </row>
    <row r="25" ht="18" customHeight="1">
      <c r="A25" s="24" t="inlineStr">
        <is>
          <t>+0.25</t>
        </is>
      </c>
      <c r="B25" s="24" t="inlineStr">
        <is>
          <t>Enforcement (contract conditions/penalties)</t>
        </is>
      </c>
    </row>
    <row r="26" ht="18" customHeight="1">
      <c r="A26" s="24" t="inlineStr">
        <is>
          <t>+0.25</t>
        </is>
      </c>
      <c r="B26" s="24" t="inlineStr">
        <is>
          <t>Monitoring mechanism</t>
        </is>
      </c>
    </row>
    <row r="27" ht="18" customHeight="1">
      <c r="A27" s="24" t="inlineStr">
        <is>
          <t>+0.25</t>
        </is>
      </c>
      <c r="B27" s="24" t="inlineStr">
        <is>
          <t>Unconditional (no exemptions)</t>
        </is>
      </c>
    </row>
  </sheetData>
  <mergeCells count="4">
    <mergeCell ref="A8:B8"/>
    <mergeCell ref="A22:B22"/>
    <mergeCell ref="A1:B1"/>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2026-06-10T12:59:12Z</dcterms:created>
  <dcterms:modified xsi:type="dcterms:W3CDTF">2026-06-10T12:59:12Z</dcterms:modified>
</cp:coreProperties>
</file>