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 Index Coding" sheetId="1" state="visible" r:id="rId1"/>
    <sheet name="Key Evidence &amp; Score Summary" sheetId="2" state="visible" r:id="rId2"/>
    <sheet name="Score Reference" sheetId="3" state="visible" r:id="rId3"/>
  </sheets>
  <definedNames/>
  <calcPr calcId="124519" fullCalcOnLoad="1"/>
</workbook>
</file>

<file path=xl/styles.xml><?xml version="1.0" encoding="utf-8"?>
<styleSheet xmlns="http://schemas.openxmlformats.org/spreadsheetml/2006/main">
  <numFmts count="1">
    <numFmt numFmtId="164" formatCode="0.000"/>
  </numFmts>
  <fonts count="10">
    <font>
      <name val="Calibri"/>
      <family val="2"/>
      <color theme="1"/>
      <sz val="11"/>
      <scheme val="minor"/>
    </font>
    <font>
      <b val="1"/>
      <color rgb="00FFFFFF"/>
      <sz val="13"/>
    </font>
    <font>
      <color rgb="00FFFFFF"/>
      <sz val="9"/>
    </font>
    <font>
      <b val="1"/>
      <color rgb="00FFFFFF"/>
      <sz val="10"/>
    </font>
    <font>
      <b val="1"/>
      <color rgb="001F3864"/>
      <sz val="9"/>
    </font>
    <font>
      <b val="1"/>
      <color rgb="001F4E17"/>
      <sz val="9"/>
    </font>
    <font>
      <i val="1"/>
      <color rgb="00808080"/>
      <sz val="8"/>
    </font>
    <font>
      <color rgb="00000000"/>
      <sz val="9"/>
    </font>
    <font>
      <i val="1"/>
      <color rgb="007F3F00"/>
      <sz val="9"/>
    </font>
    <font>
      <b val="1"/>
      <color rgb="00000000"/>
      <sz val="9"/>
    </font>
  </fonts>
  <fills count="12">
    <fill>
      <patternFill/>
    </fill>
    <fill>
      <patternFill patternType="gray125"/>
    </fill>
    <fill>
      <patternFill patternType="solid">
        <fgColor rgb="001F3864"/>
      </patternFill>
    </fill>
    <fill>
      <patternFill patternType="solid">
        <fgColor rgb="002E75B6"/>
      </patternFill>
    </fill>
    <fill>
      <patternFill patternType="solid">
        <fgColor rgb="0017375E"/>
      </patternFill>
    </fill>
    <fill>
      <patternFill patternType="solid">
        <fgColor rgb="00C5D9F1"/>
      </patternFill>
    </fill>
    <fill>
      <patternFill patternType="solid">
        <fgColor rgb="00C4E1C0"/>
      </patternFill>
    </fill>
    <fill>
      <patternFill patternType="solid">
        <fgColor rgb="00D9E2F3"/>
      </patternFill>
    </fill>
    <fill>
      <patternFill patternType="solid">
        <fgColor rgb="00FCE4D6"/>
      </patternFill>
    </fill>
    <fill>
      <patternFill patternType="solid">
        <fgColor rgb="00E2EFDA"/>
      </patternFill>
    </fill>
    <fill>
      <patternFill patternType="solid">
        <fgColor rgb="00D9F0FF"/>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4" fillId="5" borderId="1" applyAlignment="1" pivotButton="0" quotePrefix="0" xfId="0">
      <alignment horizontal="center" vertical="top" wrapText="1"/>
    </xf>
    <xf numFmtId="0" fontId="5" fillId="6" borderId="1" applyAlignment="1" pivotButton="0" quotePrefix="0" xfId="0">
      <alignment horizontal="center" vertical="top" wrapText="1"/>
    </xf>
    <xf numFmtId="0" fontId="7" fillId="7" borderId="1" applyAlignment="1" pivotButton="0" quotePrefix="0" xfId="0">
      <alignment horizontal="left" vertical="top" wrapText="1"/>
    </xf>
    <xf numFmtId="1" fontId="7" fillId="7" borderId="1" applyAlignment="1" pivotButton="0" quotePrefix="0" xfId="0">
      <alignment horizontal="center" vertical="center" wrapText="1"/>
    </xf>
    <xf numFmtId="2" fontId="7" fillId="7" borderId="1" applyAlignment="1" pivotButton="0" quotePrefix="0" xfId="0">
      <alignment horizontal="center" vertical="center" wrapText="1"/>
    </xf>
    <xf numFmtId="2" fontId="8" fillId="8" borderId="1" pivotButton="0" quotePrefix="0" xfId="0"/>
    <xf numFmtId="2" fontId="7" fillId="9" borderId="1" applyAlignment="1" pivotButton="0" quotePrefix="0" xfId="0">
      <alignment horizontal="center" vertical="center" wrapText="1"/>
    </xf>
    <xf numFmtId="0" fontId="7" fillId="9" borderId="1" applyAlignment="1" pivotButton="0" quotePrefix="0" xfId="0">
      <alignment horizontal="left" vertical="top" wrapText="1"/>
    </xf>
    <xf numFmtId="1" fontId="7" fillId="9" borderId="1" applyAlignment="1" pivotButton="0" quotePrefix="0" xfId="0">
      <alignment horizontal="center" vertical="center" wrapText="1"/>
    </xf>
    <xf numFmtId="164" fontId="8" fillId="8" borderId="1" pivotButton="0" quotePrefix="0" xfId="0"/>
    <xf numFmtId="0" fontId="6" fillId="0" borderId="0" pivotButton="0" quotePrefix="0" xfId="0"/>
    <xf numFmtId="2" fontId="7" fillId="10" borderId="1" applyAlignment="1" pivotButton="0" quotePrefix="0" xfId="0">
      <alignment horizontal="center" vertical="center" wrapText="1"/>
    </xf>
    <xf numFmtId="0" fontId="7" fillId="10" borderId="1" applyAlignment="1" pivotButton="0" quotePrefix="0" xfId="0">
      <alignment horizontal="left" vertical="top" wrapText="1"/>
    </xf>
    <xf numFmtId="1" fontId="7" fillId="10" borderId="1" applyAlignment="1" pivotButton="0" quotePrefix="0" xfId="0">
      <alignment horizontal="center" vertical="center" wrapText="1"/>
    </xf>
    <xf numFmtId="2" fontId="7" fillId="11" borderId="1" applyAlignment="1" pivotButton="0" quotePrefix="0" xfId="0">
      <alignment horizontal="center" vertical="center" wrapText="1"/>
    </xf>
    <xf numFmtId="0" fontId="7" fillId="11" borderId="1" applyAlignment="1" pivotButton="0" quotePrefix="0" xfId="0">
      <alignment horizontal="left" vertical="top" wrapText="1"/>
    </xf>
    <xf numFmtId="1" fontId="7" fillId="11" borderId="1" applyAlignment="1" pivotButton="0" quotePrefix="0" xfId="0">
      <alignment horizontal="center" vertical="center" wrapText="1"/>
    </xf>
    <xf numFmtId="0" fontId="9" fillId="5" borderId="1" applyAlignment="1" pivotButton="0" quotePrefix="0" xfId="0">
      <alignment wrapText="1"/>
    </xf>
    <xf numFmtId="0" fontId="7" fillId="0" borderId="1" applyAlignment="1" pivotButton="0" quotePrefix="0" xfId="0">
      <alignment wrapText="1"/>
    </xf>
    <xf numFmtId="0" fontId="3" fillId="3" borderId="1" applyAlignment="1" pivotButton="0" quotePrefix="0" xfId="0">
      <alignment horizontal="center" vertical="center" wrapText="1"/>
    </xf>
    <xf numFmtId="0" fontId="9" fillId="5" borderId="1" pivotButton="0" quotePrefix="0" xfId="0"/>
    <xf numFmtId="2" fontId="7" fillId="0" borderId="1" applyAlignment="1" pivotButton="0" quotePrefix="0" xfId="0">
      <alignment horizontal="center" vertical="center" wrapText="1"/>
    </xf>
    <xf numFmtId="0" fontId="7"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8"/>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32" customWidth="1" min="1" max="1"/>
    <col width="38" customWidth="1" min="2" max="2"/>
    <col width="8" customWidth="1" min="3" max="3"/>
    <col width="35" customWidth="1" min="4" max="4"/>
    <col width="8" customWidth="1" min="5" max="5"/>
    <col width="20" customWidth="1" min="6" max="6"/>
    <col width="8" customWidth="1" min="7" max="7"/>
    <col width="35" customWidth="1" min="8" max="8"/>
    <col width="9" customWidth="1" min="9" max="9"/>
    <col width="35" customWidth="1" min="10" max="10"/>
    <col width="8" customWidth="1" min="11" max="11"/>
    <col width="28" customWidth="1" min="12" max="12"/>
    <col width="8" customWidth="1" min="13" max="13"/>
    <col width="40" customWidth="1" min="14" max="14"/>
    <col width="9" customWidth="1" min="15" max="15"/>
    <col width="10" customWidth="1" min="16" max="16"/>
    <col width="18" customWidth="1" min="17" max="17"/>
    <col width="42" customWidth="1" min="18" max="18"/>
    <col width="10" customWidth="1" min="19" max="19"/>
    <col width="10" customWidth="1" min="20" max="20"/>
    <col width="42" customWidth="1" min="21" max="21"/>
    <col width="9" customWidth="1" min="22" max="22"/>
    <col width="42" customWidth="1" min="23" max="23"/>
    <col width="28" customWidth="1" min="24" max="24"/>
  </cols>
  <sheetData>
    <row r="1" ht="22" customHeight="1">
      <c r="A1" s="1" t="inlineStr">
        <is>
          <t>Plastic Pollution Policy Index (4P Index) — Coding Table</t>
        </is>
      </c>
    </row>
    <row r="2" ht="16" customHeight="1">
      <c r="A2" s="2" t="inlineStr">
        <is>
          <t>Policy: Management Plan of Bardia National Park and its Buffer Zone (FY 2079/80–2083/84 BS / 2022/23–2026/27)  |  Country: Nepal  |  Year: 2022  |  Source: https://giwmscdnone.gov.np/media/pdf_upload/Management%20Plan%20of%20BardiaNPand%20BZ%20(2023_2027)_zedb9hi.pdf</t>
        </is>
      </c>
    </row>
    <row r="3" ht="18" customHeight="1">
      <c r="A3" s="3" t="inlineStr">
        <is>
          <t>SECTION A — Policy-Level Fields  (repeated identically across all rows)</t>
        </is>
      </c>
      <c r="P3" s="4" t="inlineStr">
        <is>
          <t>SECTION B — Instrument-Level Fields  (one row per instrument)</t>
        </is>
      </c>
    </row>
    <row r="4" ht="36" customHeight="1">
      <c r="A4" s="5" t="inlineStr">
        <is>
          <t>Col A
policy_name</t>
        </is>
      </c>
      <c r="B4" s="5" t="inlineStr">
        <is>
          <t>Col B
policy_url</t>
        </is>
      </c>
      <c r="C4" s="5" t="inlineStr">
        <is>
          <t>Col C
policy_year</t>
        </is>
      </c>
      <c r="D4" s="5" t="inlineStr">
        <is>
          <t>Col D
policy_objective</t>
        </is>
      </c>
      <c r="E4" s="5" t="inlineStr">
        <is>
          <t>Col E
policy_target
(0/1)</t>
        </is>
      </c>
      <c r="F4" s="5" t="inlineStr">
        <is>
          <t>Col F
policy_target_text</t>
        </is>
      </c>
      <c r="G4" s="5" t="inlineStr">
        <is>
          <t>Col G
policy_type
(score)</t>
        </is>
      </c>
      <c r="H4" s="5" t="inlineStr">
        <is>
          <t>Col H
policy_type_justification</t>
        </is>
      </c>
      <c r="I4" s="5" t="inlineStr">
        <is>
          <t>Col I
policy_integration
(score)</t>
        </is>
      </c>
      <c r="J4" s="5" t="inlineStr">
        <is>
          <t>Col J
policy_sectors_list</t>
        </is>
      </c>
      <c r="K4" s="5" t="inlineStr">
        <is>
          <t>Col K
policy_circularity
(score)</t>
        </is>
      </c>
      <c r="L4" s="5" t="inlineStr">
        <is>
          <t>Col L
policy_lifecycle_phases_list</t>
        </is>
      </c>
      <c r="M4" s="5" t="inlineStr">
        <is>
          <t>Col M
policy_budget
(score)</t>
        </is>
      </c>
      <c r="N4" s="5" t="inlineStr">
        <is>
          <t>Col N
policy_budget_text</t>
        </is>
      </c>
      <c r="O4" s="5" t="inlineStr">
        <is>
          <t>Col O
policy_score
[auto]</t>
        </is>
      </c>
      <c r="P4" s="6" t="inlineStr">
        <is>
          <t>Col P
instrument_type
(score)</t>
        </is>
      </c>
      <c r="Q4" s="6" t="inlineStr">
        <is>
          <t>Col Q
instrument_lifecycle_stage</t>
        </is>
      </c>
      <c r="R4" s="6" t="inlineStr">
        <is>
          <t>Col R
instrument_description</t>
        </is>
      </c>
      <c r="S4" s="6" t="inlineStr">
        <is>
          <t>Col S
instrument_in_force
(0/1)</t>
        </is>
      </c>
      <c r="T4" s="6" t="inlineStr">
        <is>
          <t>Col T
instrument_implementation
(score)</t>
        </is>
      </c>
      <c r="U4" s="6" t="inlineStr">
        <is>
          <t>Col U
instrument_implementation_text</t>
        </is>
      </c>
      <c r="V4" s="6" t="inlineStr">
        <is>
          <t>Col V
instrument_score
[auto]</t>
        </is>
      </c>
      <c r="W4" s="6" t="inlineStr">
        <is>
          <t>Col W
comments</t>
        </is>
      </c>
      <c r="X4" s="6" t="inlineStr">
        <is>
          <t>Col X
—</t>
        </is>
      </c>
    </row>
    <row r="5" ht="220" customHeight="1">
      <c r="A5" s="7" t="inlineStr">
        <is>
          <t>Management Plan of Bardia National Park and its Buffer Zone (FY 2079/80–2083/84 BS / 2022/23–2026/27)</t>
        </is>
      </c>
      <c r="B5" s="7" t="inlineStr">
        <is>
          <t>https://giwmscdnone.gov.np/media/pdf_upload/Management%20Plan%20of%20BardiaNPand%20BZ%20(2023_2027)_zedb9hi.pdf</t>
        </is>
      </c>
      <c r="C5" s="8" t="n">
        <v>2022</v>
      </c>
      <c r="D5" s="7" t="inlineStr">
        <is>
          <t>Five-year management plan (2022/23–2026/27) for Bardia National Park (968 km²) and its Buffer Zone (507 km²) in Bardia, Banke and Surkhet districts, Madhesh and Lumbini Provinces, Nepal; issued by the Department of National Parks and Wildlife Conservation. In relation to plastics: prohibits use of polluting items such as plastic bags; promotes 5R (Reduce, Reuse, Recycle, Remove, Reject) approach; installs waste collection infrastructure (dustbins, waste disposal pits) at tourist entry points; prepares sanitation guidelines for accommodation operators (hotels/lodges/homestays/restaurants) and water/sanitation/hygiene guidelines for local communities; and monitors upstream water quality from industries.</t>
        </is>
      </c>
      <c r="E5" s="9" t="n">
        <v>0</v>
      </c>
      <c r="F5" s="7" t="inlineStr"/>
      <c r="G5" s="9" t="n">
        <v>0.25</v>
      </c>
      <c r="H5" s="7" t="inlineStr">
        <is>
          <t>Administrative management plan (FY 2022/23–2026/27) prepared by Bardia National Park Office under DNPWC, Ministry of Forests and Environment, Government of Nepal; published 2022. Not enacted by Parliament and not a sub-legislative regulation or executive decree. Issued as an operational management plan for the park's five-year period. Contains activity-level operational targets with budget allocations but no quantifiable plastic-specific reduction targets. Scored 0.25 (strategy/plan with aspirational commitments).</t>
        </is>
      </c>
      <c r="I5" s="9" t="n">
        <v>1</v>
      </c>
      <c r="J5" s="7" t="inlineStr">
        <is>
          <t>tourism, waste management, conservation, water, agriculture, municipalities, industry</t>
        </is>
      </c>
      <c r="K5" s="9" t="n">
        <v>0.75</v>
      </c>
      <c r="L5" s="7" t="inlineStr">
        <is>
          <t>consumption, recycling, disposal, environmental leakage</t>
        </is>
      </c>
      <c r="M5" s="9" t="n">
        <v>0.5</v>
      </c>
      <c r="N5" s="7" t="inlineStr">
        <is>
          <t>Table 8 (p. 90, Section 11.1): 'Climate change and Solid waste management: NRs. 28,262,000 (1.42% of total plan budget of NRs. 1,989,765,000).' Total plan budget: NRs. 1,989,765,000 (approximately NPR 2 billion). Solid waste management activities budgeted at activity level (Annex V). Budget is an administrative plan allocation, not a legally ring-fenced dedicated fund or self-generating mechanism.</t>
        </is>
      </c>
      <c r="O5" s="10">
        <f>AVERAGE(G5,I5,K5,M5,P5)</f>
        <v/>
      </c>
      <c r="P5" s="11" t="n">
        <v>1</v>
      </c>
      <c r="Q5" s="12" t="inlineStr">
        <is>
          <t>Consumption</t>
        </is>
      </c>
      <c r="R5" s="13" t="inlineStr">
        <is>
          <t>Section 9.2.4 (p. 79–80) — Solid Waste Management Activities: 'Provide support to manage garbage with special focus on reducing production, recycling, and destruction by prohibiting the use of polluting items such as plastic bags.' Context (Section 9.2.1, p. 79): 'Water sources along the major trails are being contaminated with human waste, plastics and water bottles.' Section 9.2.3 (5R Strategy): 'Promote recycle, reuse, reduce, remove, and reject (5R) approach to manage wastes in the Park.' Both core park and Buffer Zone are targeted.</t>
        </is>
      </c>
      <c r="S5" s="13" t="n">
        <v>0</v>
      </c>
      <c r="T5" s="11" t="n">
        <v>0.75</v>
      </c>
      <c r="U5" s="12" t="inlineStr">
        <is>
          <t>Sec. 9.2.1 (p. 79): 'Water sources along the major trails are being contaminated with human waste, plastics and water bottles.'
Sec. 9.2.4 (p. 80): 'Provide support to manage garbage with special focus on reducing production, recycling, and destruction by prohibiting the use of polluting items such as plastic bags.'
Sec. 9.2.3 (p. 79): '...Promote recycle, reuse, reduce, remove, and reject (5R) approach...'
Responsible authority (+0.25): Bardia National Park Office and BZ institutions (BZUC/BZCF) are designated implementing bodies throughout the plan; Section 11.1 specifies implementing agencies.
Enforcement (−0): No fines or penalties for plastic bag use explicitly stated in this plan.
Monitoring (+0.25): Section 9.2.4 includes 'Monitor water quality nearby industries' — monitoring mechanism covers pollution aspects; annual progress reports required.
Unconditional (+0.25): Plastic bag prohibition stated without exemptions in plan activities.</t>
        </is>
      </c>
      <c r="V5" s="14">
        <f>AVERAGE(P5,T5)</f>
        <v/>
      </c>
      <c r="W5" s="12" t="inlineStr">
        <is>
          <t>instrument_in_force = 0: Plan commits to 'provide support to manage garbage by prohibiting '— this is a future implementation commitment, not a currently operative legal prohibition. The NPWC Act 2029 and its amendments give the park authority power to regulate activities within and around the park, but a specific plastic ban ordinance is needed. P = 1.0 (Regulatory) based on explicit prohibition language ('prohibiting the use of polluting items such as plastic bags'). The 5R approach is folded into this instrument as it combines regulatory prohibition with voluntary promotion; highest type (Regulatory) applied per coding rules. Plastic bag prohibition + 5R strategy combination: both directly target plastic at consumption stage. Cross-reference: Nepal's national Plastic Bag Control Directive 2082 may already operationalise elements of this plan commitment at national level.</t>
        </is>
      </c>
      <c r="X5" s="15" t="inlineStr">
        <is>
          <t>Instrument 1 — Plastic bag prohibition + 5R waste reduction approach</t>
        </is>
      </c>
    </row>
    <row r="6" ht="220" customHeight="1">
      <c r="A6" s="7" t="inlineStr">
        <is>
          <t>Management Plan of Bardia National Park and its Buffer Zone (FY 2079/80–2083/84 BS / 2022/23–2026/27)</t>
        </is>
      </c>
      <c r="B6" s="7" t="inlineStr">
        <is>
          <t>https://giwmscdnone.gov.np/media/pdf_upload/Management%20Plan%20of%20BardiaNPand%20BZ%20(2023_2027)_zedb9hi.pdf</t>
        </is>
      </c>
      <c r="C6" s="8" t="n">
        <v>2022</v>
      </c>
      <c r="D6" s="7" t="inlineStr">
        <is>
          <t>Five-year management plan (2022/23–2026/27) for Bardia National Park (968 km²) and its Buffer Zone (507 km²) in Bardia, Banke and Surkhet districts, Madhesh and Lumbini Provinces, Nepal; issued by the Department of National Parks and Wildlife Conservation. In relation to plastics: prohibits use of polluting items such as plastic bags; promotes 5R (Reduce, Reuse, Recycle, Remove, Reject) approach; installs waste collection infrastructure (dustbins, waste disposal pits) at tourist entry points; prepares sanitation guidelines for accommodation operators (hotels/lodges/homestays/restaurants) and water/sanitation/hygiene guidelines for local communities; and monitors upstream water quality from industries.</t>
        </is>
      </c>
      <c r="E6" s="9" t="n">
        <v>0</v>
      </c>
      <c r="F6" s="7" t="inlineStr"/>
      <c r="G6" s="9" t="n">
        <v>0.25</v>
      </c>
      <c r="H6" s="7" t="inlineStr">
        <is>
          <t>Administrative management plan (FY 2022/23–2026/27) prepared by Bardia National Park Office under DNPWC, Ministry of Forests and Environment, Government of Nepal; published 2022. Not enacted by Parliament and not a sub-legislative regulation or executive decree. Issued as an operational management plan for the park's five-year period. Contains activity-level operational targets with budget allocations but no quantifiable plastic-specific reduction targets. Scored 0.25 (strategy/plan with aspirational commitments).</t>
        </is>
      </c>
      <c r="I6" s="9" t="n">
        <v>1</v>
      </c>
      <c r="J6" s="7" t="inlineStr">
        <is>
          <t>tourism, waste management, conservation, water, agriculture, municipalities, industry</t>
        </is>
      </c>
      <c r="K6" s="9" t="n">
        <v>0.75</v>
      </c>
      <c r="L6" s="7" t="inlineStr">
        <is>
          <t>consumption, recycling, disposal, environmental leakage</t>
        </is>
      </c>
      <c r="M6" s="9" t="n">
        <v>0.5</v>
      </c>
      <c r="N6" s="7" t="inlineStr">
        <is>
          <t>Table 8 (p. 90, Section 11.1): 'Climate change and Solid waste management: NRs. 28,262,000 (1.42% of total plan budget of NRs. 1,989,765,000).' Total plan budget: NRs. 1,989,765,000 (approximately NPR 2 billion). Solid waste management activities budgeted at activity level (Annex V). Budget is an administrative plan allocation, not a legally ring-fenced dedicated fund or self-generating mechanism.</t>
        </is>
      </c>
      <c r="O6" s="10">
        <f>AVERAGE(G6,I6,K6,M6,P6)</f>
        <v/>
      </c>
      <c r="P6" s="16" t="n">
        <v>0.8</v>
      </c>
      <c r="Q6" s="17" t="inlineStr">
        <is>
          <t>Waste management</t>
        </is>
      </c>
      <c r="R6" s="18" t="inlineStr">
        <is>
          <t>Section 8.2.5 (p. 76) — Tourism Management Activities: 'Install dustbin in the BZ in proper numbers as per tourist pressure; Organize Clean-up campaign to manage waste in the highways (waste collection and disposal).' Section 9.2.4 (pp. 79–80): 'Construct waste disposal pits or put waste collection pots near entry point, ticket counter and Hattisar; Provide water supply, toilet, drainage, collection and recycling centre to schools, public buildings, and household with the support from conservation partners; Support eco-clubs to organize clean-up campaign regularly.'</t>
        </is>
      </c>
      <c r="S6" s="18" t="n">
        <v>0</v>
      </c>
      <c r="T6" s="16" t="n">
        <v>0.75</v>
      </c>
      <c r="U6" s="17" t="inlineStr">
        <is>
          <t>Sec. 8.2.5 (p. 76): 'Install dustbin in the BZ in proper numbers as per tourist pressure.'
'Organize Clean-up campaign to manage waste in the highways (waste collection and disposal).'
Sec. 9.2.4 (p. 80): 'Construct waste disposal pits or put waste collection pots near entry point, ticket counter and Hattisar.'
'Provide water supply, toilet, drainage, collection and recycling centre to schools...'
'Support eco-clubs to organize clean-up campaign regularly.'
Responsible authority (+0.25): BNP office, Nepal Army, BZUCs and eco-clubs designated.
Enforcement (−0): No enforcement mechanism for waste infrastructure compliance.
Monitoring (+0.25): Annual progress report tracking; eco-club campaign monitoring implicit.
Unconditional (+0.25): Dustbin installation and clean-up campaigns stated as specific targets without stated exemptions.</t>
        </is>
      </c>
      <c r="V6" s="14">
        <f>AVERAGE(P6,T6)</f>
        <v/>
      </c>
      <c r="W6" s="17" t="inlineStr">
        <is>
          <t>This instrument combines physical infrastructure (waste disposal pits, dustbins, recycling centres) and community campaigns (clean-up campaigns via eco-clubs). Highest type (Infrastructure, 0.80) applied per coding rules; the community campaign element (0.40) noted here. The 'collection and recycling centre' activity also includes recycling infrastructure, strengthening the 0.80 (Infrastructure) classification. All activities pass the plastics relevance filter under criterion (c) — waste management instruments that commonly apply to plastic waste streams.</t>
        </is>
      </c>
      <c r="X6" s="15" t="inlineStr">
        <is>
          <t>Instrument 2 — Waste collection infrastructure (dustbins/pits) + clean-up campaigns + recycling centres</t>
        </is>
      </c>
    </row>
    <row r="7" ht="220" customHeight="1">
      <c r="A7" s="7" t="inlineStr">
        <is>
          <t>Management Plan of Bardia National Park and its Buffer Zone (FY 2079/80–2083/84 BS / 2022/23–2026/27)</t>
        </is>
      </c>
      <c r="B7" s="7" t="inlineStr">
        <is>
          <t>https://giwmscdnone.gov.np/media/pdf_upload/Management%20Plan%20of%20BardiaNPand%20BZ%20(2023_2027)_zedb9hi.pdf</t>
        </is>
      </c>
      <c r="C7" s="8" t="n">
        <v>2022</v>
      </c>
      <c r="D7" s="7" t="inlineStr">
        <is>
          <t>Five-year management plan (2022/23–2026/27) for Bardia National Park (968 km²) and its Buffer Zone (507 km²) in Bardia, Banke and Surkhet districts, Madhesh and Lumbini Provinces, Nepal; issued by the Department of National Parks and Wildlife Conservation. In relation to plastics: prohibits use of polluting items such as plastic bags; promotes 5R (Reduce, Reuse, Recycle, Remove, Reject) approach; installs waste collection infrastructure (dustbins, waste disposal pits) at tourist entry points; prepares sanitation guidelines for accommodation operators (hotels/lodges/homestays/restaurants) and water/sanitation/hygiene guidelines for local communities; and monitors upstream water quality from industries.</t>
        </is>
      </c>
      <c r="E7" s="9" t="n">
        <v>0</v>
      </c>
      <c r="F7" s="7" t="inlineStr"/>
      <c r="G7" s="9" t="n">
        <v>0.25</v>
      </c>
      <c r="H7" s="7" t="inlineStr">
        <is>
          <t>Administrative management plan (FY 2022/23–2026/27) prepared by Bardia National Park Office under DNPWC, Ministry of Forests and Environment, Government of Nepal; published 2022. Not enacted by Parliament and not a sub-legislative regulation or executive decree. Issued as an operational management plan for the park's five-year period. Contains activity-level operational targets with budget allocations but no quantifiable plastic-specific reduction targets. Scored 0.25 (strategy/plan with aspirational commitments).</t>
        </is>
      </c>
      <c r="I7" s="9" t="n">
        <v>1</v>
      </c>
      <c r="J7" s="7" t="inlineStr">
        <is>
          <t>tourism, waste management, conservation, water, agriculture, municipalities, industry</t>
        </is>
      </c>
      <c r="K7" s="9" t="n">
        <v>0.75</v>
      </c>
      <c r="L7" s="7" t="inlineStr">
        <is>
          <t>consumption, recycling, disposal, environmental leakage</t>
        </is>
      </c>
      <c r="M7" s="9" t="n">
        <v>0.5</v>
      </c>
      <c r="N7" s="7" t="inlineStr">
        <is>
          <t>Table 8 (p. 90, Section 11.1): 'Climate change and Solid waste management: NRs. 28,262,000 (1.42% of total plan budget of NRs. 1,989,765,000).' Total plan budget: NRs. 1,989,765,000 (approximately NPR 2 billion). Solid waste management activities budgeted at activity level (Annex V). Budget is an administrative plan allocation, not a legally ring-fenced dedicated fund or self-generating mechanism.</t>
        </is>
      </c>
      <c r="O7" s="10">
        <f>AVERAGE(G7,I7,K7,M7,P7)</f>
        <v/>
      </c>
      <c r="P7" s="19" t="n">
        <v>1</v>
      </c>
      <c r="Q7" s="20" t="inlineStr">
        <is>
          <t>Consumption</t>
        </is>
      </c>
      <c r="R7" s="21" t="inlineStr">
        <is>
          <t>Section 9.2.4 (pp. 79–80) — Solid Waste Management Activities: 'Prepare a common sanitation guideline to make hotel, lodge, homestay and restaurant adopt minimum standards.' Section 9.2.3 — Strategies: 'Develop water, sanitation and hygiene guideline for local communities in BNP.' These mandatory-minimum standards for accommodation operators and a community-level WASH guideline together constitute a standard-setting instrument for plastic and other waste management in the park and buffer zone.</t>
        </is>
      </c>
      <c r="S7" s="21" t="n">
        <v>0</v>
      </c>
      <c r="T7" s="19" t="n">
        <v>0.5</v>
      </c>
      <c r="U7" s="20" t="inlineStr">
        <is>
          <t>Sec. 9.2.4 (p. 80): 'Prepare a common sanitation guideline to make hotel, lodge, homestay and restaurant adopt minimum standards.'
Sec. 9.2.3 (p. 79): 'Develop water, sanitation and hygiene guideline for local communities in BNP.'
Responsible authority (+0.25): BNP park authority designated as the preparing body.
Enforcement (−0): No explicit enforcement mechanism or penalties for non-compliance with sanitation guidelines stated in the plan.
Monitoring (−0): No specific monitoring mechanism stated for accommodation compliance with the guideline.
Unconditional (+0.25): Sanitation guideline to apply to 'hotel, lodge, homestay and restaurant' universally — no stated exemptions within the accommodation sector.</t>
        </is>
      </c>
      <c r="V7" s="14">
        <f>AVERAGE(P7,T7)</f>
        <v/>
      </c>
      <c r="W7" s="20" t="inlineStr">
        <is>
          <t>instrument_in_force = 0: The plan commits to PREPARING both guidelines — these are future actions. Once issued, they would function as mandatory minimum standards (P = 1.0 Regulatory). P = 1.0 (Regulatory/mandatory standard) coded because the guideline is described as making accommodation operators 'adopt minimum standards' — mandatory language. Borderline case: P = 0.20 (governance) is defensible since the plan only commits to preparing the guidelines, not operationalising them. The combination of accommodation-sector sanitation guideline + community WASH guideline is treated as one standard-setting instrument since both address waste management practices at the consumption/use stage and are complementary in scope.</t>
        </is>
      </c>
      <c r="X7" s="15" t="inlineStr">
        <is>
          <t>Instrument 3 — Sanitation guideline for accommodation operators + WASH guideline for communities</t>
        </is>
      </c>
    </row>
    <row r="8" ht="220" customHeight="1">
      <c r="A8" s="7" t="inlineStr">
        <is>
          <t>Management Plan of Bardia National Park and its Buffer Zone (FY 2079/80–2083/84 BS / 2022/23–2026/27)</t>
        </is>
      </c>
      <c r="B8" s="7" t="inlineStr">
        <is>
          <t>https://giwmscdnone.gov.np/media/pdf_upload/Management%20Plan%20of%20BardiaNPand%20BZ%20(2023_2027)_zedb9hi.pdf</t>
        </is>
      </c>
      <c r="C8" s="8" t="n">
        <v>2022</v>
      </c>
      <c r="D8" s="7" t="inlineStr">
        <is>
          <t>Five-year management plan (2022/23–2026/27) for Bardia National Park (968 km²) and its Buffer Zone (507 km²) in Bardia, Banke and Surkhet districts, Madhesh and Lumbini Provinces, Nepal; issued by the Department of National Parks and Wildlife Conservation. In relation to plastics: prohibits use of polluting items such as plastic bags; promotes 5R (Reduce, Reuse, Recycle, Remove, Reject) approach; installs waste collection infrastructure (dustbins, waste disposal pits) at tourist entry points; prepares sanitation guidelines for accommodation operators (hotels/lodges/homestays/restaurants) and water/sanitation/hygiene guidelines for local communities; and monitors upstream water quality from industries.</t>
        </is>
      </c>
      <c r="E8" s="9" t="n">
        <v>0</v>
      </c>
      <c r="F8" s="7" t="inlineStr"/>
      <c r="G8" s="9" t="n">
        <v>0.25</v>
      </c>
      <c r="H8" s="7" t="inlineStr">
        <is>
          <t>Administrative management plan (FY 2022/23–2026/27) prepared by Bardia National Park Office under DNPWC, Ministry of Forests and Environment, Government of Nepal; published 2022. Not enacted by Parliament and not a sub-legislative regulation or executive decree. Issued as an operational management plan for the park's five-year period. Contains activity-level operational targets with budget allocations but no quantifiable plastic-specific reduction targets. Scored 0.25 (strategy/plan with aspirational commitments).</t>
        </is>
      </c>
      <c r="I8" s="9" t="n">
        <v>1</v>
      </c>
      <c r="J8" s="7" t="inlineStr">
        <is>
          <t>tourism, waste management, conservation, water, agriculture, municipalities, industry</t>
        </is>
      </c>
      <c r="K8" s="9" t="n">
        <v>0.75</v>
      </c>
      <c r="L8" s="7" t="inlineStr">
        <is>
          <t>consumption, recycling, disposal, environmental leakage</t>
        </is>
      </c>
      <c r="M8" s="9" t="n">
        <v>0.5</v>
      </c>
      <c r="N8" s="7" t="inlineStr">
        <is>
          <t>Table 8 (p. 90, Section 11.1): 'Climate change and Solid waste management: NRs. 28,262,000 (1.42% of total plan budget of NRs. 1,989,765,000).' Total plan budget: NRs. 1,989,765,000 (approximately NPR 2 billion). Solid waste management activities budgeted at activity level (Annex V). Budget is an administrative plan allocation, not a legally ring-fenced dedicated fund or self-generating mechanism.</t>
        </is>
      </c>
      <c r="O8" s="10">
        <f>AVERAGE(G8,I8,K8,M8,P8)</f>
        <v/>
      </c>
      <c r="P8" s="11" t="n">
        <v>0.2</v>
      </c>
      <c r="Q8" s="12" t="inlineStr">
        <is>
          <t>Environmental leakage</t>
        </is>
      </c>
      <c r="R8" s="13" t="inlineStr">
        <is>
          <t>Section 9.2.4 (pp. 79–80) — Solid Waste Management Activities: 'Monitor water quality nearby industries to check whether they treat their waste before discharging into the river.' 'Pilot work with upstream local government – Tulshipur and Ghorahi sub-metropolitan cities, Babai river catchment.' Section 9.2.3: 'Engaging local government and private sector including those in the upstream.' This governance and monitoring instrument addresses the environmental leakage of plastic and other pollutants from upstream industries into waterways flowing through Bardia National Park.</t>
        </is>
      </c>
      <c r="S8" s="13" t="n">
        <v>0</v>
      </c>
      <c r="T8" s="11" t="n">
        <v>0.75</v>
      </c>
      <c r="U8" s="12" t="inlineStr">
        <is>
          <t>Sec. 9.2.4 (p. 80): 'Monitor water quality nearby industries to check whether they treat their waste before discharging into the river.'
'Pilot work with upstream local government – Tulshipur and Ghorahi sub-metropolitan cities, Babai river catchment.'
Sec. 9.2.3 (p. 79): 'Engaging local government and private sector including those in the upstream.'
Responsible authority (+0.25): BNP office designated as monitoring body; coordination with upstream municipalities is explicitly assigned.
Enforcement (−0): No explicit penalties for upstream industrial non-compliance stated in the plan.
Monitoring (+0.25): Water quality monitoring explicitly stated as an activity — this is an explicit monitoring mechanism.
Unconditional (+0.25): Both monitoring and coordination activities are stated without exemptions.</t>
        </is>
      </c>
      <c r="V8" s="14">
        <f>AVERAGE(P8,T8)</f>
        <v/>
      </c>
      <c r="W8" s="12" t="inlineStr">
        <is>
          <t>This instrument is distinct from the Khaptad NP plan and unique to Bardia — it targets upstream pollution sources (industries and municipalities in Tulshipur and Ghorahi) whose waste including plastic enters the Babai river and affects the park ecosystem. P = 0.20 (Governance &amp; coordination) because the instrument coordinates and monitors across levels of government (national park + sub-metropolitan municipalities) and assigns monitoring responsibilities. Passes plastics relevance filter under criterion (c): waste management governance instrument that commonly applies to plastic waste streams in practice, specifically controlling environmental leakage of plastic into river systems. S = 0: piloting upstream coordination is an aspirational plan activity; no binding agreement with Tulshipur/Ghorahi has been concluded within this plan.</t>
        </is>
      </c>
      <c r="X8" s="15" t="inlineStr">
        <is>
          <t>Instrument 4 — Upstream water quality monitoring + governance coordination with municipalities</t>
        </is>
      </c>
    </row>
  </sheetData>
  <mergeCells count="4">
    <mergeCell ref="A2:X2"/>
    <mergeCell ref="P3:X3"/>
    <mergeCell ref="A3:O3"/>
    <mergeCell ref="A1:X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52" customWidth="1" min="1" max="1"/>
    <col width="12" customWidth="1" min="2" max="2"/>
    <col width="12" customWidth="1" min="3" max="3"/>
    <col width="12" customWidth="1" min="4" max="4"/>
    <col width="12" customWidth="1" min="5" max="5"/>
  </cols>
  <sheetData>
    <row r="1" ht="35" customHeight="1">
      <c r="A1" s="3" t="inlineStr">
        <is>
          <t>SCORE SUMMARY</t>
        </is>
      </c>
    </row>
    <row r="2" ht="35" customHeight="1">
      <c r="A2" s="22" t="inlineStr">
        <is>
          <t>Instrument</t>
        </is>
      </c>
      <c r="B2" s="22" t="inlineStr">
        <is>
          <t>P (type)</t>
        </is>
      </c>
      <c r="C2" s="22" t="inlineStr">
        <is>
          <t>S (in force)</t>
        </is>
      </c>
      <c r="D2" s="22" t="inlineStr">
        <is>
          <t>T (impl.)</t>
        </is>
      </c>
      <c r="E2" s="22" t="inlineStr">
        <is>
          <t>V (score [auto])</t>
        </is>
      </c>
    </row>
    <row r="3" ht="35" customHeight="1">
      <c r="A3" s="23" t="inlineStr">
        <is>
          <t>1 — Plastic bag prohibition + 5R approach</t>
        </is>
      </c>
      <c r="B3" s="23" t="inlineStr">
        <is>
          <t>1.00</t>
        </is>
      </c>
      <c r="C3" s="23" t="inlineStr">
        <is>
          <t>0</t>
        </is>
      </c>
      <c r="D3" s="23" t="inlineStr">
        <is>
          <t>0.75</t>
        </is>
      </c>
      <c r="E3" s="23" t="inlineStr">
        <is>
          <t>0.875</t>
        </is>
      </c>
    </row>
    <row r="4" ht="35" customHeight="1">
      <c r="A4" s="23" t="inlineStr">
        <is>
          <t>2 — Waste collection infrastructure (dustbins/pits) + clean-up campaigns</t>
        </is>
      </c>
      <c r="B4" s="23" t="inlineStr">
        <is>
          <t>0.80</t>
        </is>
      </c>
      <c r="C4" s="23" t="inlineStr">
        <is>
          <t>0</t>
        </is>
      </c>
      <c r="D4" s="23" t="inlineStr">
        <is>
          <t>0.75</t>
        </is>
      </c>
      <c r="E4" s="23" t="inlineStr">
        <is>
          <t>0.775</t>
        </is>
      </c>
    </row>
    <row r="5" ht="35" customHeight="1">
      <c r="A5" s="23" t="inlineStr">
        <is>
          <t>3 — Sanitation guideline (accommodation) + WASH guideline (communities)</t>
        </is>
      </c>
      <c r="B5" s="23" t="inlineStr">
        <is>
          <t>1.00</t>
        </is>
      </c>
      <c r="C5" s="23" t="inlineStr">
        <is>
          <t>0</t>
        </is>
      </c>
      <c r="D5" s="23" t="inlineStr">
        <is>
          <t>0.50</t>
        </is>
      </c>
      <c r="E5" s="23" t="inlineStr">
        <is>
          <t>0.750</t>
        </is>
      </c>
    </row>
    <row r="6" ht="35" customHeight="1">
      <c r="A6" s="23" t="inlineStr">
        <is>
          <t>4 — Upstream water quality monitoring + governance coordination with municipalities</t>
        </is>
      </c>
      <c r="B6" s="23" t="inlineStr">
        <is>
          <t>0.20</t>
        </is>
      </c>
      <c r="C6" s="23" t="inlineStr">
        <is>
          <t>0</t>
        </is>
      </c>
      <c r="D6" s="23" t="inlineStr">
        <is>
          <t>0.75</t>
        </is>
      </c>
      <c r="E6" s="23" t="inlineStr">
        <is>
          <t>0.475</t>
        </is>
      </c>
    </row>
    <row r="7" ht="35" customHeight="1"/>
    <row r="8" ht="35" customHeight="1">
      <c r="A8" s="3" t="inlineStr">
        <is>
          <t>POLICY-LEVEL SCORES</t>
        </is>
      </c>
    </row>
    <row r="9" ht="35" customHeight="1">
      <c r="A9" s="22" t="inlineStr">
        <is>
          <t>Field</t>
        </is>
      </c>
      <c r="B9" s="22" t="inlineStr">
        <is>
          <t>Value</t>
        </is>
      </c>
    </row>
    <row r="10" ht="35" customHeight="1">
      <c r="A10" s="23" t="inlineStr">
        <is>
          <t>policy_type (G)</t>
        </is>
      </c>
      <c r="B10" s="23" t="inlineStr">
        <is>
          <t>0.25  (management plan — aspirational, no quantifiable plastic targets)</t>
        </is>
      </c>
    </row>
    <row r="11" ht="35" customHeight="1">
      <c r="A11" s="23" t="inlineStr">
        <is>
          <t>policy_target (E)</t>
        </is>
      </c>
      <c r="B11" s="23" t="inlineStr">
        <is>
          <t>0</t>
        </is>
      </c>
    </row>
    <row r="12" ht="35" customHeight="1">
      <c r="A12" s="23" t="inlineStr">
        <is>
          <t>policy_integration (I)</t>
        </is>
      </c>
      <c r="B12" s="23" t="inlineStr">
        <is>
          <t>1.00  (7 sectors: tourism, waste management, conservation, water, agriculture, municipalities, industry)</t>
        </is>
      </c>
    </row>
    <row r="13" ht="35" customHeight="1">
      <c r="A13" s="23" t="inlineStr">
        <is>
          <t>policy_circularity (K)</t>
        </is>
      </c>
      <c r="B13" s="23" t="inlineStr">
        <is>
          <t>0.75  (4 lifecycle phases: consumption, recycling, disposal, environmental leakage)</t>
        </is>
      </c>
    </row>
    <row r="14" ht="35" customHeight="1">
      <c r="A14" s="23" t="inlineStr">
        <is>
          <t>policy_budget (M)</t>
        </is>
      </c>
      <c r="B14" s="23" t="inlineStr">
        <is>
          <t>0.50  (NRs. 28,262,000 allocated to climate change + solid waste management; not ring-fenced)</t>
        </is>
      </c>
    </row>
    <row r="15" ht="35" customHeight="1">
      <c r="A15" s="23" t="inlineStr">
        <is>
          <t>policy_score (O)</t>
        </is>
      </c>
      <c r="B15" s="23" t="inlineStr">
        <is>
          <t>[auto] = AVERAGE(G, I, K, M, P per row)</t>
        </is>
      </c>
    </row>
    <row r="16" ht="35" customHeight="1"/>
    <row r="17" ht="35" customHeight="1">
      <c r="A17" s="3" t="inlineStr">
        <is>
          <t>KEY VERBATIM EVIDENCE — PLASTIC-RELEVANT PASSAGES</t>
        </is>
      </c>
    </row>
    <row r="18" ht="35" customHeight="1">
      <c r="A18" s="22" t="inlineStr">
        <is>
          <t>Location</t>
        </is>
      </c>
      <c r="B18" s="22" t="inlineStr">
        <is>
          <t>Verbatim text</t>
        </is>
      </c>
    </row>
    <row r="19" ht="35" customHeight="1">
      <c r="A19" s="23" t="inlineStr">
        <is>
          <t>Sec. 9.2.1, p.79 — Context (plastic in water sources)</t>
        </is>
      </c>
      <c r="B19" s="23" t="inlineStr">
        <is>
          <t>'Water sources along the major trails are being contaminated with human waste, plastics and water bottles.'</t>
        </is>
      </c>
    </row>
    <row r="20" ht="35" customHeight="1">
      <c r="A20" s="23" t="inlineStr">
        <is>
          <t>Sec. 9.2.4, p.80 — Plastic bag prohibition (with budget)</t>
        </is>
      </c>
      <c r="B20" s="23" t="inlineStr">
        <is>
          <t>'Provide support to manage garbage with special focus on reducing production, recycling, and destruction by prohibiting the use of polluting items such as plastic bags.'</t>
        </is>
      </c>
    </row>
    <row r="21" ht="35" customHeight="1">
      <c r="A21" s="23" t="inlineStr">
        <is>
          <t>Sec. 9.2.3, p.79 — 5R strategy</t>
        </is>
      </c>
      <c r="B21" s="23" t="inlineStr">
        <is>
          <t>'Promote recycle, reuse, reduce, remove, and reject (5R) approach to manage wastes in the Park.'</t>
        </is>
      </c>
    </row>
    <row r="22" ht="35" customHeight="1">
      <c r="A22" s="23" t="inlineStr">
        <is>
          <t>Sec. 9.2.4, p.80 — Sanitation guideline</t>
        </is>
      </c>
      <c r="B22" s="23" t="inlineStr">
        <is>
          <t>'Prepare a common sanitation guideline to make hotel, lodge, homestay and restaurant adopt minimum standards.'</t>
        </is>
      </c>
    </row>
    <row r="23" ht="35" customHeight="1">
      <c r="A23" s="23" t="inlineStr">
        <is>
          <t>Sec. 9.2.3, p.79 — WASH guideline</t>
        </is>
      </c>
      <c r="B23" s="23" t="inlineStr">
        <is>
          <t>'Develop water, sanitation and hygiene guideline for local communities in BNP.'</t>
        </is>
      </c>
    </row>
    <row r="24" ht="35" customHeight="1">
      <c r="A24" s="23" t="inlineStr">
        <is>
          <t>Sec. 9.2.4, p.80 — Water quality monitoring (upstream)</t>
        </is>
      </c>
      <c r="B24" s="23" t="inlineStr">
        <is>
          <t>'Monitor water quality nearby industries to check whether they treat their waste before discharging into the river.'</t>
        </is>
      </c>
    </row>
    <row r="25" ht="35" customHeight="1">
      <c r="A25" s="23" t="inlineStr">
        <is>
          <t>Sec. 9.2.4, p.80 — Upstream coordination</t>
        </is>
      </c>
      <c r="B25" s="23" t="inlineStr">
        <is>
          <t>'Pilot work with upstream local government – Tulshipur and Ghorahi sub-metropolitan cities, Babai river catchment.'</t>
        </is>
      </c>
    </row>
    <row r="26" ht="35" customHeight="1">
      <c r="A26" s="23" t="inlineStr">
        <is>
          <t>Sec. 8.2.5, p.76 — Waste infrastructure</t>
        </is>
      </c>
      <c r="B26" s="23" t="inlineStr">
        <is>
          <t>'Install dustbin in the BZ in proper numbers as per tourist pressure; Organize Clean-up campaign to manage waste in the highways (waste collection and disposal).'</t>
        </is>
      </c>
    </row>
    <row r="27" ht="35" customHeight="1">
      <c r="A27" s="23" t="inlineStr">
        <is>
          <t>Table 8, p.90 — Budget</t>
        </is>
      </c>
      <c r="B27" s="23" t="inlineStr">
        <is>
          <t>'Climate change and Solid waste management: NRs. 28,262,000 (1.42% of total plan budget of NRs. 1,989,765,000).'</t>
        </is>
      </c>
    </row>
  </sheetData>
  <mergeCells count="3">
    <mergeCell ref="A1:E1"/>
    <mergeCell ref="A17:E17"/>
    <mergeCell ref="A8:E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14" customWidth="1" min="1" max="1"/>
    <col width="70" customWidth="1" min="2" max="2"/>
  </cols>
  <sheetData>
    <row r="1" ht="18" customHeight="1">
      <c r="A1" s="24" t="inlineStr">
        <is>
          <t>POLICY TYPE (Col G)</t>
        </is>
      </c>
    </row>
    <row r="2" ht="18" customHeight="1">
      <c r="A2" s="25" t="inlineStr">
        <is>
          <t>Score</t>
        </is>
      </c>
      <c r="B2" s="25" t="inlineStr">
        <is>
          <t>Description</t>
        </is>
      </c>
    </row>
    <row r="3" ht="18" customHeight="1">
      <c r="A3" s="26" t="n">
        <v>0.25</v>
      </c>
      <c r="B3" s="27" t="inlineStr">
        <is>
          <t>Strategy/plan — aspirational, no concrete plastic targets</t>
        </is>
      </c>
    </row>
    <row r="4" ht="18" customHeight="1">
      <c r="A4" s="26" t="n">
        <v>0.5</v>
      </c>
      <c r="B4" s="27" t="inlineStr">
        <is>
          <t>Strategy/plan — incorporates quantifiable targets</t>
        </is>
      </c>
    </row>
    <row r="5" ht="18" customHeight="1">
      <c r="A5" s="26" t="n">
        <v>0.75</v>
      </c>
      <c r="B5" s="27" t="inlineStr">
        <is>
          <t>Regulation or executive decree (sub-legislative)</t>
        </is>
      </c>
    </row>
    <row r="6" ht="18" customHeight="1">
      <c r="A6" s="26" t="n">
        <v>1</v>
      </c>
      <c r="B6" s="27" t="inlineStr">
        <is>
          <t>Legislation (parliament)</t>
        </is>
      </c>
    </row>
    <row r="7" ht="18" customHeight="1">
      <c r="A7" s="27" t="inlineStr"/>
    </row>
    <row r="8" ht="18" customHeight="1">
      <c r="A8" s="24" t="inlineStr">
        <is>
          <t>POLICY INTEGRATION (Col I)</t>
        </is>
      </c>
    </row>
    <row r="9" ht="18" customHeight="1">
      <c r="A9" s="25" t="inlineStr">
        <is>
          <t>Score</t>
        </is>
      </c>
      <c r="B9" s="25" t="inlineStr">
        <is>
          <t>Description</t>
        </is>
      </c>
    </row>
    <row r="10" ht="18" customHeight="1">
      <c r="A10" s="26" t="n">
        <v>0</v>
      </c>
      <c r="B10" s="27" t="inlineStr">
        <is>
          <t>0 sectors</t>
        </is>
      </c>
    </row>
    <row r="11" ht="18" customHeight="1">
      <c r="A11" s="26" t="n">
        <v>0.25</v>
      </c>
      <c r="B11" s="27" t="inlineStr">
        <is>
          <t>1–2 sectors</t>
        </is>
      </c>
    </row>
    <row r="12" ht="18" customHeight="1">
      <c r="A12" s="26" t="n">
        <v>0.5</v>
      </c>
      <c r="B12" s="27" t="inlineStr">
        <is>
          <t>3–4 sectors</t>
        </is>
      </c>
    </row>
    <row r="13" ht="18" customHeight="1">
      <c r="A13" s="26" t="n">
        <v>0.75</v>
      </c>
      <c r="B13" s="27" t="inlineStr">
        <is>
          <t>5–6 sectors</t>
        </is>
      </c>
    </row>
    <row r="14" ht="18" customHeight="1">
      <c r="A14" s="26" t="n">
        <v>1</v>
      </c>
      <c r="B14" s="27" t="inlineStr">
        <is>
          <t>7+ sectors</t>
        </is>
      </c>
    </row>
    <row r="15" ht="18" customHeight="1">
      <c r="A15" s="27" t="inlineStr"/>
    </row>
    <row r="16" ht="18" customHeight="1">
      <c r="A16" s="24" t="inlineStr">
        <is>
          <t>POLICY CIRCULARITY (Col K)</t>
        </is>
      </c>
    </row>
    <row r="17" ht="18" customHeight="1">
      <c r="A17" s="25" t="inlineStr">
        <is>
          <t>Score</t>
        </is>
      </c>
      <c r="B17" s="25" t="inlineStr">
        <is>
          <t>Description</t>
        </is>
      </c>
    </row>
    <row r="18" ht="18" customHeight="1">
      <c r="A18" s="26" t="n">
        <v>0.25</v>
      </c>
      <c r="B18" s="27" t="inlineStr">
        <is>
          <t>1 lifecycle phase</t>
        </is>
      </c>
    </row>
    <row r="19" ht="18" customHeight="1">
      <c r="A19" s="26" t="n">
        <v>0.5</v>
      </c>
      <c r="B19" s="27" t="inlineStr">
        <is>
          <t>2 lifecycle phases</t>
        </is>
      </c>
    </row>
    <row r="20" ht="18" customHeight="1">
      <c r="A20" s="26" t="n">
        <v>0.75</v>
      </c>
      <c r="B20" s="27" t="inlineStr">
        <is>
          <t>3–4 lifecycle phases</t>
        </is>
      </c>
    </row>
    <row r="21" ht="18" customHeight="1">
      <c r="A21" s="26" t="n">
        <v>1</v>
      </c>
      <c r="B21" s="27" t="inlineStr">
        <is>
          <t>All 5 phases</t>
        </is>
      </c>
    </row>
    <row r="22" ht="18" customHeight="1">
      <c r="A22" s="27" t="inlineStr"/>
    </row>
    <row r="23" ht="18" customHeight="1">
      <c r="A23" s="24" t="inlineStr">
        <is>
          <t>POLICY BUDGET (Col M)</t>
        </is>
      </c>
    </row>
    <row r="24" ht="18" customHeight="1">
      <c r="A24" s="25" t="inlineStr">
        <is>
          <t>Score</t>
        </is>
      </c>
      <c r="B24" s="25" t="inlineStr">
        <is>
          <t>Description</t>
        </is>
      </c>
    </row>
    <row r="25" ht="18" customHeight="1">
      <c r="A25" s="26" t="n">
        <v>0</v>
      </c>
      <c r="B25" s="27" t="inlineStr">
        <is>
          <t>No budget</t>
        </is>
      </c>
    </row>
    <row r="26" ht="18" customHeight="1">
      <c r="A26" s="26" t="n">
        <v>0.5</v>
      </c>
      <c r="B26" s="27" t="inlineStr">
        <is>
          <t>Budget mentioned, not ring-fenced</t>
        </is>
      </c>
    </row>
    <row r="27" ht="18" customHeight="1">
      <c r="A27" s="26" t="n">
        <v>1</v>
      </c>
      <c r="B27" s="27" t="inlineStr">
        <is>
          <t>Ring-fenced / self-generating fund</t>
        </is>
      </c>
    </row>
    <row r="28" ht="18" customHeight="1">
      <c r="A28" s="27" t="inlineStr"/>
    </row>
    <row r="29" ht="18" customHeight="1">
      <c r="A29" s="24" t="inlineStr">
        <is>
          <t>INSTRUMENT TYPE (Col P)</t>
        </is>
      </c>
    </row>
    <row r="30" ht="18" customHeight="1">
      <c r="A30" s="25" t="inlineStr">
        <is>
          <t>Score</t>
        </is>
      </c>
      <c r="B30" s="25" t="inlineStr">
        <is>
          <t>Description</t>
        </is>
      </c>
    </row>
    <row r="31" ht="18" customHeight="1">
      <c r="A31" s="26" t="n">
        <v>0</v>
      </c>
      <c r="B31" s="27" t="inlineStr">
        <is>
          <t>No instrument</t>
        </is>
      </c>
    </row>
    <row r="32" ht="18" customHeight="1">
      <c r="A32" s="26" t="n">
        <v>0.2</v>
      </c>
      <c r="B32" s="27" t="inlineStr">
        <is>
          <t>Governance &amp; coordination</t>
        </is>
      </c>
    </row>
    <row r="33" ht="18" customHeight="1">
      <c r="A33" s="26" t="n">
        <v>0.4</v>
      </c>
      <c r="B33" s="27" t="inlineStr">
        <is>
          <t>Information &amp; voluntary</t>
        </is>
      </c>
    </row>
    <row r="34" ht="18" customHeight="1">
      <c r="A34" s="26" t="n">
        <v>0.6</v>
      </c>
      <c r="B34" s="27" t="inlineStr">
        <is>
          <t>Economic</t>
        </is>
      </c>
    </row>
    <row r="35" ht="18" customHeight="1">
      <c r="A35" s="26" t="n">
        <v>0.8</v>
      </c>
      <c r="B35" s="27" t="inlineStr">
        <is>
          <t>Infrastructure</t>
        </is>
      </c>
    </row>
    <row r="36" ht="18" customHeight="1">
      <c r="A36" s="26" t="n">
        <v>1</v>
      </c>
      <c r="B36" s="27" t="inlineStr">
        <is>
          <t>Regulatory (ban, EPR, mandatory standard)</t>
        </is>
      </c>
    </row>
    <row r="37" ht="18" customHeight="1">
      <c r="A37" s="27" t="inlineStr"/>
    </row>
    <row r="38" ht="18" customHeight="1">
      <c r="A38" s="24" t="inlineStr">
        <is>
          <t>INSTRUMENT IN FORCE (Col S)</t>
        </is>
      </c>
    </row>
    <row r="39" ht="18" customHeight="1">
      <c r="A39" s="25" t="inlineStr">
        <is>
          <t>Score</t>
        </is>
      </c>
      <c r="B39" s="25" t="inlineStr">
        <is>
          <t>Description</t>
        </is>
      </c>
    </row>
    <row r="40" ht="18" customHeight="1">
      <c r="A40" s="26" t="n">
        <v>0</v>
      </c>
      <c r="B40" s="27" t="inlineStr">
        <is>
          <t>Not in force — plan-level commitment not yet operationalised</t>
        </is>
      </c>
    </row>
    <row r="41" ht="18" customHeight="1">
      <c r="A41" s="26" t="n">
        <v>1</v>
      </c>
      <c r="B41" s="27" t="inlineStr">
        <is>
          <t>In force — mandatory language or operationalised by subordinate instrument</t>
        </is>
      </c>
    </row>
    <row r="42" ht="18" customHeight="1">
      <c r="A42" s="27" t="inlineStr"/>
    </row>
    <row r="43" ht="18" customHeight="1">
      <c r="A43" s="24" t="inlineStr">
        <is>
          <t>INSTRUMENT IMPLEMENTATION (Col T)</t>
        </is>
      </c>
    </row>
    <row r="44" ht="18" customHeight="1">
      <c r="A44" s="25" t="inlineStr">
        <is>
          <t>Sub-score</t>
        </is>
      </c>
      <c r="B44" s="25" t="inlineStr">
        <is>
          <t>Criterion (must be explicitly evidenced)</t>
        </is>
      </c>
    </row>
    <row r="45" ht="18" customHeight="1">
      <c r="A45" s="27" t="inlineStr">
        <is>
          <t>+0.25</t>
        </is>
      </c>
      <c r="B45" s="27" t="inlineStr">
        <is>
          <t>Responsible authority designated</t>
        </is>
      </c>
    </row>
    <row r="46" ht="18" customHeight="1">
      <c r="A46" s="27" t="inlineStr">
        <is>
          <t>+0.25</t>
        </is>
      </c>
      <c r="B46" s="27" t="inlineStr">
        <is>
          <t>Enforcement (fines/penalties)</t>
        </is>
      </c>
    </row>
    <row r="47" ht="18" customHeight="1">
      <c r="A47" s="27" t="inlineStr">
        <is>
          <t>+0.25</t>
        </is>
      </c>
      <c r="B47" s="27" t="inlineStr">
        <is>
          <t>Monitoring mechanism</t>
        </is>
      </c>
    </row>
    <row r="48" ht="18" customHeight="1">
      <c r="A48" s="27" t="inlineStr">
        <is>
          <t>+0.25</t>
        </is>
      </c>
      <c r="B48" s="27" t="inlineStr">
        <is>
          <t>Unconditional (no exemptions)</t>
        </is>
      </c>
    </row>
  </sheetData>
  <mergeCells count="7">
    <mergeCell ref="A38:B38"/>
    <mergeCell ref="A16:B16"/>
    <mergeCell ref="A29:B29"/>
    <mergeCell ref="A43:B43"/>
    <mergeCell ref="A1:B1"/>
    <mergeCell ref="A23:B23"/>
    <mergeCell ref="A8:B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2026-06-10T10:20:40Z</dcterms:created>
  <dcterms:modified xsi:type="dcterms:W3CDTF">2026-06-10T10:20:41Z</dcterms:modified>
</cp:coreProperties>
</file>