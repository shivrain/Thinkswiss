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9"/>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
  <sheetViews>
    <sheetView workbookViewId="0">
      <selection activeCell="A1" sqref="A1"/>
    </sheetView>
  </sheetViews>
  <sheetFormatPr baseColWidth="8" defaultRowHeight="15"/>
  <cols>
    <col width="45" customWidth="1" min="1" max="1"/>
    <col width="18" customWidth="1" min="2" max="2"/>
    <col width="8" customWidth="1" min="3" max="3"/>
    <col width="45" customWidth="1" min="4" max="4"/>
    <col width="8" customWidth="1" min="5" max="5"/>
    <col width="12" customWidth="1" min="6" max="6"/>
    <col width="8" customWidth="1" min="7" max="7"/>
    <col width="35" customWidth="1" min="8" max="8"/>
    <col width="8" customWidth="1" min="9" max="9"/>
    <col width="35" customWidth="1" min="10" max="10"/>
    <col width="8" customWidth="1" min="11" max="11"/>
    <col width="28" customWidth="1" min="12" max="12"/>
    <col width="8" customWidth="1" min="13" max="13"/>
    <col width="40" customWidth="1" min="14" max="14"/>
    <col width="10" customWidth="1" min="15" max="15"/>
    <col width="8" customWidth="1" min="16" max="16"/>
    <col width="20" customWidth="1" min="17" max="17"/>
    <col width="50" customWidth="1" min="18" max="18"/>
    <col width="8" customWidth="1" min="19" max="19"/>
    <col width="8" customWidth="1" min="20" max="20"/>
    <col width="40" customWidth="1" min="21" max="21"/>
    <col width="10" customWidth="1" min="22" max="22"/>
    <col width="40" customWidth="1" min="23" max="23"/>
  </cols>
  <sheetData>
    <row r="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c r="A2" s="2" t="inlineStr">
        <is>
          <t>Regulamento sobre a Gestão e Controlo do Saco de Plástico (Decreto n.º 16/2015, de 5 de Agosto)</t>
        </is>
      </c>
      <c r="B2" s="2" t="inlineStr">
        <is>
          <t>not available</t>
        </is>
      </c>
      <c r="C2" s="2" t="n">
        <v>2015</v>
      </c>
      <c r="D2"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2" s="2" t="n">
        <v>0</v>
      </c>
      <c r="F2" s="2" t="inlineStr"/>
      <c r="G2" s="3" t="n">
        <v>0.75</v>
      </c>
      <c r="H2" s="2" t="inlineStr">
        <is>
          <t>Executive decree (Decreto n.º 16/2015) approved by the Council of Ministers on 30 June 2015 and published 5 August 2015, under Lei 20/97 Art. 33 and Constitution Art. 204. Sub-legislative instrument, not parliamentary legislation.</t>
        </is>
      </c>
      <c r="I2" s="3" t="n">
        <v>0.75</v>
      </c>
      <c r="J2" s="2" t="inlineStr">
        <is>
          <t>production, consumption, retail, waste management, industry, municipalities, packaging, fisheries</t>
        </is>
      </c>
      <c r="K2" s="3" t="n">
        <v>0.75</v>
      </c>
      <c r="L2" s="2" t="inlineStr">
        <is>
          <t>production, consumption, recycling, disposal</t>
        </is>
      </c>
      <c r="M2" s="3" t="n">
        <v>1</v>
      </c>
      <c r="N2"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2" s="3">
        <f>AVERAGE(G2,I2,K2,M2,P2)</f>
        <v/>
      </c>
      <c r="P2" s="3" t="n">
        <v>1</v>
      </c>
      <c r="Q2" s="2" t="inlineStr">
        <is>
          <t>Production</t>
        </is>
      </c>
      <c r="R2" s="2" t="inlineStr">
        <is>
          <t>Art. 4(1)(a): Prohibits production, import, and wholesale or retail marketing of plastic bags with thickness below 30 micrometres. Exceptions: bags for weighing food products; bags for conditioning municipal solid waste; bags produced in export free zones (Art. 4(2)–(3)).</t>
        </is>
      </c>
      <c r="S2" s="3" t="n">
        <v>1</v>
      </c>
      <c r="T2" s="3" t="n">
        <v>0.75</v>
      </c>
      <c r="U2" s="2" t="inlineStr">
        <is>
          <t>'é proibida... saco de plástico cuja espessura seja inferior a 30 micrómetros.' Fines: production 40, import 80, retail/wholesale 50 minimum wages (Art. 7). Authorities: MAAP, Finance, Industry, INAE, municipalities (Art. 6). Exemptions for food-weighing and municipal waste bags reduce unconditional score.</t>
        </is>
      </c>
      <c r="V2" s="3">
        <f>AVERAGE(P2,T2)</f>
        <v/>
      </c>
      <c r="W2" s="2" t="inlineStr">
        <is>
          <t>Core plastic-bag regulatory instrument. Decreto Art. 3(2): production/import prohibitions for in-process applications enter force 180 days after publication (February 2016). Explicit plastics mention (filter criterion a).</t>
        </is>
      </c>
    </row>
    <row r="3">
      <c r="A3" s="2" t="inlineStr">
        <is>
          <t>Regulamento sobre a Gestão e Controlo do Saco de Plástico (Decreto n.º 16/2015, de 5 de Agosto)</t>
        </is>
      </c>
      <c r="B3" s="2" t="inlineStr">
        <is>
          <t>not available</t>
        </is>
      </c>
      <c r="C3" s="2" t="n">
        <v>2015</v>
      </c>
      <c r="D3"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3" s="2" t="n">
        <v>0</v>
      </c>
      <c r="F3" s="2" t="inlineStr"/>
      <c r="G3" s="3" t="n">
        <v>0.75</v>
      </c>
      <c r="H3" s="2" t="inlineStr">
        <is>
          <t>Executive decree (Decreto n.º 16/2015) approved by the Council of Ministers on 30 June 2015 and published 5 August 2015, under Lei 20/97 Art. 33 and Constitution Art. 204. Sub-legislative instrument, not parliamentary legislation.</t>
        </is>
      </c>
      <c r="I3" s="3" t="n">
        <v>0.75</v>
      </c>
      <c r="J3" s="2" t="inlineStr">
        <is>
          <t>production, consumption, retail, waste management, industry, municipalities, packaging, fisheries</t>
        </is>
      </c>
      <c r="K3" s="3" t="n">
        <v>0.75</v>
      </c>
      <c r="L3" s="2" t="inlineStr">
        <is>
          <t>production, consumption, recycling, disposal</t>
        </is>
      </c>
      <c r="M3" s="3" t="n">
        <v>1</v>
      </c>
      <c r="N3"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3" s="3">
        <f>AVERAGE(G3,I3,K3,M3,P3)</f>
        <v/>
      </c>
      <c r="P3" s="3" t="n">
        <v>1</v>
      </c>
      <c r="Q3" s="2" t="inlineStr">
        <is>
          <t>Consumption</t>
        </is>
      </c>
      <c r="R3" s="2" t="inlineStr">
        <is>
          <t>Art. 4(1)(b): Prohibits free distribution of plastic bags at all premises where commercial activity is exercised.</t>
        </is>
      </c>
      <c r="S3" s="3" t="n">
        <v>1</v>
      </c>
      <c r="T3" s="3" t="n">
        <v>0.75</v>
      </c>
      <c r="U3" s="2" t="inlineStr">
        <is>
          <t>'é proibida... A distribuição gratuita de saco de plástico em todos os locais onde se exerça a actividade comercial.' Fine: 25 minimum wages (Art. 7(d)). INAE and municipalities responsible for fiscalization (Art. 6).</t>
        </is>
      </c>
      <c r="V3" s="3">
        <f>AVERAGE(P3,T3)</f>
        <v/>
      </c>
      <c r="W3" s="2" t="inlineStr">
        <is>
          <t>Mandatory prohibition language; directly reduces single-use bag consumption.</t>
        </is>
      </c>
    </row>
    <row r="4">
      <c r="A4" s="2" t="inlineStr">
        <is>
          <t>Regulamento sobre a Gestão e Controlo do Saco de Plástico (Decreto n.º 16/2015, de 5 de Agosto)</t>
        </is>
      </c>
      <c r="B4" s="2" t="inlineStr">
        <is>
          <t>not available</t>
        </is>
      </c>
      <c r="C4" s="2" t="n">
        <v>2015</v>
      </c>
      <c r="D4"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4" s="2" t="n">
        <v>0</v>
      </c>
      <c r="F4" s="2" t="inlineStr"/>
      <c r="G4" s="3" t="n">
        <v>0.75</v>
      </c>
      <c r="H4" s="2" t="inlineStr">
        <is>
          <t>Executive decree (Decreto n.º 16/2015) approved by the Council of Ministers on 30 June 2015 and published 5 August 2015, under Lei 20/97 Art. 33 and Constitution Art. 204. Sub-legislative instrument, not parliamentary legislation.</t>
        </is>
      </c>
      <c r="I4" s="3" t="n">
        <v>0.75</v>
      </c>
      <c r="J4" s="2" t="inlineStr">
        <is>
          <t>production, consumption, retail, waste management, industry, municipalities, packaging, fisheries</t>
        </is>
      </c>
      <c r="K4" s="3" t="n">
        <v>0.75</v>
      </c>
      <c r="L4" s="2" t="inlineStr">
        <is>
          <t>production, consumption, recycling, disposal</t>
        </is>
      </c>
      <c r="M4" s="3" t="n">
        <v>1</v>
      </c>
      <c r="N4"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4" s="3">
        <f>AVERAGE(G4,I4,K4,M4,P4)</f>
        <v/>
      </c>
      <c r="P4" s="3" t="n">
        <v>1</v>
      </c>
      <c r="Q4" s="2" t="inlineStr">
        <is>
          <t>Consumption</t>
        </is>
      </c>
      <c r="R4" s="2" t="inlineStr">
        <is>
          <t>Art. 4(1)(c) &amp; Art. 5(2): Prohibits marketing or distribution of plastic bags containing more than 40% recycled material in establishments selling food products; food retailers must ensure bags do not exceed 40% recycled content.</t>
        </is>
      </c>
      <c r="S4" s="3" t="n">
        <v>1</v>
      </c>
      <c r="T4" s="3" t="n">
        <v>0.75</v>
      </c>
      <c r="U4" s="2" t="inlineStr">
        <is>
          <t>'é proibida... saco de plástico que contenham acima de 40% de material reciclado em estabelecimentos que comercializem produtos alimentares.' Fine: 60 minimum wages (Art. 7(f)). Labelling must indicate recycled percentage (Art. 5(4)).</t>
        </is>
      </c>
      <c r="V4" s="3">
        <f>AVERAGE(P4,T4)</f>
        <v/>
      </c>
      <c r="W4" s="2" t="inlineStr">
        <is>
          <t>Recycled-content standard with food-safety rationale. Arts. 4 and 5 coded as one instrument (prohibition + compliance duty).</t>
        </is>
      </c>
    </row>
    <row r="5">
      <c r="A5" s="2" t="inlineStr">
        <is>
          <t>Regulamento sobre a Gestão e Controlo do Saco de Plástico (Decreto n.º 16/2015, de 5 de Agosto)</t>
        </is>
      </c>
      <c r="B5" s="2" t="inlineStr">
        <is>
          <t>not available</t>
        </is>
      </c>
      <c r="C5" s="2" t="n">
        <v>2015</v>
      </c>
      <c r="D5"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5" s="2" t="n">
        <v>0</v>
      </c>
      <c r="F5" s="2" t="inlineStr"/>
      <c r="G5" s="3" t="n">
        <v>0.75</v>
      </c>
      <c r="H5" s="2" t="inlineStr">
        <is>
          <t>Executive decree (Decreto n.º 16/2015) approved by the Council of Ministers on 30 June 2015 and published 5 August 2015, under Lei 20/97 Art. 33 and Constitution Art. 204. Sub-legislative instrument, not parliamentary legislation.</t>
        </is>
      </c>
      <c r="I5" s="3" t="n">
        <v>0.75</v>
      </c>
      <c r="J5" s="2" t="inlineStr">
        <is>
          <t>production, consumption, retail, waste management, industry, municipalities, packaging, fisheries</t>
        </is>
      </c>
      <c r="K5" s="3" t="n">
        <v>0.75</v>
      </c>
      <c r="L5" s="2" t="inlineStr">
        <is>
          <t>production, consumption, recycling, disposal</t>
        </is>
      </c>
      <c r="M5" s="3" t="n">
        <v>1</v>
      </c>
      <c r="N5"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5" s="3">
        <f>AVERAGE(G5,I5,K5,M5,P5)</f>
        <v/>
      </c>
      <c r="P5" s="3" t="n">
        <v>1</v>
      </c>
      <c r="Q5" s="2" t="inlineStr">
        <is>
          <t>Production</t>
        </is>
      </c>
      <c r="R5" s="2" t="inlineStr">
        <is>
          <t>Art. 5(1): Production and import of plastic bags must comply with Mozambican Standard NM 596.</t>
        </is>
      </c>
      <c r="S5" s="3" t="n">
        <v>1</v>
      </c>
      <c r="T5" s="3" t="n">
        <v>0.5</v>
      </c>
      <c r="U5" s="2" t="inlineStr">
        <is>
          <t>'A produção e importação do saco de plástico deve estar em conformidade com a Norma Moçambicana NM 596.' Industry Ministry licenses production (Art. 6(3)); INAE fiscalizes (Art. 6(4)); MAAP monitors (Art. 6(1)(b)).</t>
        </is>
      </c>
      <c r="V5" s="3">
        <f>AVERAGE(P5,T5)</f>
        <v/>
      </c>
      <c r="W5" s="2" t="inlineStr">
        <is>
          <t>Mandatory technology/performance standard for plastic bag production.</t>
        </is>
      </c>
    </row>
    <row r="6">
      <c r="A6" s="2" t="inlineStr">
        <is>
          <t>Regulamento sobre a Gestão e Controlo do Saco de Plástico (Decreto n.º 16/2015, de 5 de Agosto)</t>
        </is>
      </c>
      <c r="B6" s="2" t="inlineStr">
        <is>
          <t>not available</t>
        </is>
      </c>
      <c r="C6" s="2" t="n">
        <v>2015</v>
      </c>
      <c r="D6"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6" s="2" t="n">
        <v>0</v>
      </c>
      <c r="F6" s="2" t="inlineStr"/>
      <c r="G6" s="3" t="n">
        <v>0.75</v>
      </c>
      <c r="H6" s="2" t="inlineStr">
        <is>
          <t>Executive decree (Decreto n.º 16/2015) approved by the Council of Ministers on 30 June 2015 and published 5 August 2015, under Lei 20/97 Art. 33 and Constitution Art. 204. Sub-legislative instrument, not parliamentary legislation.</t>
        </is>
      </c>
      <c r="I6" s="3" t="n">
        <v>0.75</v>
      </c>
      <c r="J6" s="2" t="inlineStr">
        <is>
          <t>production, consumption, retail, waste management, industry, municipalities, packaging, fisheries</t>
        </is>
      </c>
      <c r="K6" s="3" t="n">
        <v>0.75</v>
      </c>
      <c r="L6" s="2" t="inlineStr">
        <is>
          <t>production, consumption, recycling, disposal</t>
        </is>
      </c>
      <c r="M6" s="3" t="n">
        <v>1</v>
      </c>
      <c r="N6"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6" s="3">
        <f>AVERAGE(G6,I6,K6,M6,P6)</f>
        <v/>
      </c>
      <c r="P6" s="3" t="n">
        <v>1</v>
      </c>
      <c r="Q6" s="2" t="inlineStr">
        <is>
          <t>Production</t>
        </is>
      </c>
      <c r="R6" s="2" t="inlineStr">
        <is>
          <t>Art. 5(4): Producers must label plastic bags with company name/logo, physical address, product characteristics (volume, material, plastic symbol, thickness, and recycled percentage if applicable).</t>
        </is>
      </c>
      <c r="S6" s="3" t="n">
        <v>1</v>
      </c>
      <c r="T6" s="3" t="n">
        <v>0.5</v>
      </c>
      <c r="U6" s="2" t="inlineStr">
        <is>
          <t>'o produtor deve rotular o saco de plástico produzido' with mandatory indications listed. INAE fiscalizes production (Art. 6(4)); MAAP monitors compliance (Art. 6(1)(b)). No specific fine listed in Art. 7 for labelling violations.</t>
        </is>
      </c>
      <c r="V6" s="3">
        <f>AVERAGE(P6,T6)</f>
        <v/>
      </c>
      <c r="W6" s="2" t="inlineStr">
        <is>
          <t>Labelling scheme; also supports Information instrument type but Regulatory scored as mandatory standard (Rule 10: highest type).</t>
        </is>
      </c>
    </row>
    <row r="7">
      <c r="A7" s="2" t="inlineStr">
        <is>
          <t>Regulamento sobre a Gestão e Controlo do Saco de Plástico (Decreto n.º 16/2015, de 5 de Agosto)</t>
        </is>
      </c>
      <c r="B7" s="2" t="inlineStr">
        <is>
          <t>not available</t>
        </is>
      </c>
      <c r="C7" s="2" t="n">
        <v>2015</v>
      </c>
      <c r="D7"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7" s="2" t="n">
        <v>0</v>
      </c>
      <c r="F7" s="2" t="inlineStr"/>
      <c r="G7" s="3" t="n">
        <v>0.75</v>
      </c>
      <c r="H7" s="2" t="inlineStr">
        <is>
          <t>Executive decree (Decreto n.º 16/2015) approved by the Council of Ministers on 30 June 2015 and published 5 August 2015, under Lei 20/97 Art. 33 and Constitution Art. 204. Sub-legislative instrument, not parliamentary legislation.</t>
        </is>
      </c>
      <c r="I7" s="3" t="n">
        <v>0.75</v>
      </c>
      <c r="J7" s="2" t="inlineStr">
        <is>
          <t>production, consumption, retail, waste management, industry, municipalities, packaging, fisheries</t>
        </is>
      </c>
      <c r="K7" s="3" t="n">
        <v>0.75</v>
      </c>
      <c r="L7" s="2" t="inlineStr">
        <is>
          <t>production, consumption, recycling, disposal</t>
        </is>
      </c>
      <c r="M7" s="3" t="n">
        <v>1</v>
      </c>
      <c r="N7"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7" s="3">
        <f>AVERAGE(G7,I7,K7,M7,P7)</f>
        <v/>
      </c>
      <c r="P7" s="3" t="n">
        <v>1</v>
      </c>
      <c r="Q7" s="2" t="inlineStr">
        <is>
          <t>Consumption</t>
        </is>
      </c>
      <c r="R7" s="2" t="inlineStr">
        <is>
          <t>Art. 5(4) (final paragraph): Mandatory separate display of the price of plastic bags relative to product prices at all commercial establishments.</t>
        </is>
      </c>
      <c r="S7" s="3" t="n">
        <v>1</v>
      </c>
      <c r="T7" s="3" t="n">
        <v>0.75</v>
      </c>
      <c r="U7" s="2" t="inlineStr">
        <is>
          <t>'É de carácter obrigatório a indicação, em separado, o preço do saco de plástico relativamente ao preço dos produtos.' Fine: 30 minimum wages (Art. 7(e)). INAE inspection (Art. 6(4)).</t>
        </is>
      </c>
      <c r="V7" s="3">
        <f>AVERAGE(P7,T7)</f>
        <v/>
      </c>
      <c r="W7" s="2" t="inlineStr">
        <is>
          <t>Economic disincentive through price transparency at point of sale.</t>
        </is>
      </c>
    </row>
    <row r="8">
      <c r="A8" s="2" t="inlineStr">
        <is>
          <t>Regulamento sobre a Gestão e Controlo do Saco de Plástico (Decreto n.º 16/2015, de 5 de Agosto)</t>
        </is>
      </c>
      <c r="B8" s="2" t="inlineStr">
        <is>
          <t>not available</t>
        </is>
      </c>
      <c r="C8" s="2" t="n">
        <v>2015</v>
      </c>
      <c r="D8"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8" s="2" t="n">
        <v>0</v>
      </c>
      <c r="F8" s="2" t="inlineStr"/>
      <c r="G8" s="3" t="n">
        <v>0.75</v>
      </c>
      <c r="H8" s="2" t="inlineStr">
        <is>
          <t>Executive decree (Decreto n.º 16/2015) approved by the Council of Ministers on 30 June 2015 and published 5 August 2015, under Lei 20/97 Art. 33 and Constitution Art. 204. Sub-legislative instrument, not parliamentary legislation.</t>
        </is>
      </c>
      <c r="I8" s="3" t="n">
        <v>0.75</v>
      </c>
      <c r="J8" s="2" t="inlineStr">
        <is>
          <t>production, consumption, retail, waste management, industry, municipalities, packaging, fisheries</t>
        </is>
      </c>
      <c r="K8" s="3" t="n">
        <v>0.75</v>
      </c>
      <c r="L8" s="2" t="inlineStr">
        <is>
          <t>production, consumption, recycling, disposal</t>
        </is>
      </c>
      <c r="M8" s="3" t="n">
        <v>1</v>
      </c>
      <c r="N8"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8" s="3">
        <f>AVERAGE(G8,I8,K8,M8,P8)</f>
        <v/>
      </c>
      <c r="P8" s="3" t="n">
        <v>0.2</v>
      </c>
      <c r="Q8" s="2" t="inlineStr">
        <is>
          <t>Waste management</t>
        </is>
      </c>
      <c r="R8" s="2" t="inlineStr">
        <is>
          <t>Art. 6(1): Environment Ministry (MAAP) shall disseminate compliance rules, monitor regulation compliance, adopt measures to reduce plastic bag use and identify sustainable alternatives, and ensure environmental norms in production.</t>
        </is>
      </c>
      <c r="S8" s="3" t="n">
        <v>1</v>
      </c>
      <c r="T8" s="3" t="n">
        <v>0.5</v>
      </c>
      <c r="U8" s="2" t="inlineStr">
        <is>
          <t>'Compete ao Ministério que superintende a área do Ambiente' with monitoring (+0.25), authority designated (+0.25). Dissemination of compliance rules (+0.25 monitoring mechanism). No penalties in Art. 6 itself.</t>
        </is>
      </c>
      <c r="V8" s="3">
        <f>AVERAGE(P8,T8)</f>
        <v/>
      </c>
      <c r="W8" s="2" t="inlineStr">
        <is>
          <t>National governance/coordination instrument for plastic bag management.</t>
        </is>
      </c>
    </row>
    <row r="9">
      <c r="A9" s="2" t="inlineStr">
        <is>
          <t>Regulamento sobre a Gestão e Controlo do Saco de Plástico (Decreto n.º 16/2015, de 5 de Agosto)</t>
        </is>
      </c>
      <c r="B9" s="2" t="inlineStr">
        <is>
          <t>not available</t>
        </is>
      </c>
      <c r="C9" s="2" t="n">
        <v>2015</v>
      </c>
      <c r="D9"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9" s="2" t="n">
        <v>0</v>
      </c>
      <c r="F9" s="2" t="inlineStr"/>
      <c r="G9" s="3" t="n">
        <v>0.75</v>
      </c>
      <c r="H9" s="2" t="inlineStr">
        <is>
          <t>Executive decree (Decreto n.º 16/2015) approved by the Council of Ministers on 30 June 2015 and published 5 August 2015, under Lei 20/97 Art. 33 and Constitution Art. 204. Sub-legislative instrument, not parliamentary legislation.</t>
        </is>
      </c>
      <c r="I9" s="3" t="n">
        <v>0.75</v>
      </c>
      <c r="J9" s="2" t="inlineStr">
        <is>
          <t>production, consumption, retail, waste management, industry, municipalities, packaging, fisheries</t>
        </is>
      </c>
      <c r="K9" s="3" t="n">
        <v>0.75</v>
      </c>
      <c r="L9" s="2" t="inlineStr">
        <is>
          <t>production, consumption, recycling, disposal</t>
        </is>
      </c>
      <c r="M9" s="3" t="n">
        <v>1</v>
      </c>
      <c r="N9"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9" s="3">
        <f>AVERAGE(G9,I9,K9,M9,P9)</f>
        <v/>
      </c>
      <c r="P9" s="3" t="n">
        <v>0.2</v>
      </c>
      <c r="Q9" s="2" t="inlineStr">
        <is>
          <t>Production</t>
        </is>
      </c>
      <c r="R9" s="2" t="inlineStr">
        <is>
          <t>Art. 6(2): Finance Ministry shall fiscalize the import process of plastic bags through competent bodies.</t>
        </is>
      </c>
      <c r="S9" s="3" t="n">
        <v>1</v>
      </c>
      <c r="T9" s="3" t="n">
        <v>0.5</v>
      </c>
      <c r="U9" s="2" t="inlineStr">
        <is>
          <t>'Compete ao Ministério que Superintende a área das Finanças, fiscalizar através de órgãos competentes o processo de importação do saco de plástico.' Authority (+0.25) and import inspection (+0.25 monitoring).</t>
        </is>
      </c>
      <c r="V9" s="3">
        <f>AVERAGE(P9,T9)</f>
        <v/>
      </c>
      <c r="W9" s="2" t="inlineStr">
        <is>
          <t>Border/import enforcement coordination for plastic bags.</t>
        </is>
      </c>
    </row>
    <row r="10">
      <c r="A10" s="2" t="inlineStr">
        <is>
          <t>Regulamento sobre a Gestão e Controlo do Saco de Plástico (Decreto n.º 16/2015, de 5 de Agosto)</t>
        </is>
      </c>
      <c r="B10" s="2" t="inlineStr">
        <is>
          <t>not available</t>
        </is>
      </c>
      <c r="C10" s="2" t="n">
        <v>2015</v>
      </c>
      <c r="D10"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10" s="2" t="n">
        <v>0</v>
      </c>
      <c r="F10" s="2" t="inlineStr"/>
      <c r="G10" s="3" t="n">
        <v>0.75</v>
      </c>
      <c r="H10" s="2" t="inlineStr">
        <is>
          <t>Executive decree (Decreto n.º 16/2015) approved by the Council of Ministers on 30 June 2015 and published 5 August 2015, under Lei 20/97 Art. 33 and Constitution Art. 204. Sub-legislative instrument, not parliamentary legislation.</t>
        </is>
      </c>
      <c r="I10" s="3" t="n">
        <v>0.75</v>
      </c>
      <c r="J10" s="2" t="inlineStr">
        <is>
          <t>production, consumption, retail, waste management, industry, municipalities, packaging, fisheries</t>
        </is>
      </c>
      <c r="K10" s="3" t="n">
        <v>0.75</v>
      </c>
      <c r="L10" s="2" t="inlineStr">
        <is>
          <t>production, consumption, recycling, disposal</t>
        </is>
      </c>
      <c r="M10" s="3" t="n">
        <v>1</v>
      </c>
      <c r="N10"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10" s="3">
        <f>AVERAGE(G10,I10,K10,M10,P10)</f>
        <v/>
      </c>
      <c r="P10" s="3" t="n">
        <v>0.2</v>
      </c>
      <c r="Q10" s="2" t="inlineStr">
        <is>
          <t>Production</t>
        </is>
      </c>
      <c r="R10" s="2" t="inlineStr">
        <is>
          <t>Art. 6(3): Industry and Commerce Ministry shall license production and marketing activities of plastic bags and register entities that produce, market and import plastic bags.</t>
        </is>
      </c>
      <c r="S10" s="3" t="n">
        <v>1</v>
      </c>
      <c r="T10" s="3" t="n">
        <v>0.25</v>
      </c>
      <c r="U10" s="2" t="inlineStr">
        <is>
          <t>'Licenciar as actividades de produção e comercialização do saco plástico'; 'Cadastrar entidades que produzem, comercializam e importam sacos plásticos.' Responsible authority designated (+0.25).</t>
        </is>
      </c>
      <c r="V10" s="3">
        <f>AVERAGE(P10,T10)</f>
        <v/>
      </c>
      <c r="W10" s="2" t="inlineStr">
        <is>
          <t>Producer/importer registration and licensing framework.</t>
        </is>
      </c>
    </row>
    <row r="11">
      <c r="A11" s="2" t="inlineStr">
        <is>
          <t>Regulamento sobre a Gestão e Controlo do Saco de Plástico (Decreto n.º 16/2015, de 5 de Agosto)</t>
        </is>
      </c>
      <c r="B11" s="2" t="inlineStr">
        <is>
          <t>not available</t>
        </is>
      </c>
      <c r="C11" s="2" t="n">
        <v>2015</v>
      </c>
      <c r="D11"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11" s="2" t="n">
        <v>0</v>
      </c>
      <c r="F11" s="2" t="inlineStr"/>
      <c r="G11" s="3" t="n">
        <v>0.75</v>
      </c>
      <c r="H11" s="2" t="inlineStr">
        <is>
          <t>Executive decree (Decreto n.º 16/2015) approved by the Council of Ministers on 30 June 2015 and published 5 August 2015, under Lei 20/97 Art. 33 and Constitution Art. 204. Sub-legislative instrument, not parliamentary legislation.</t>
        </is>
      </c>
      <c r="I11" s="3" t="n">
        <v>0.75</v>
      </c>
      <c r="J11" s="2" t="inlineStr">
        <is>
          <t>production, consumption, retail, waste management, industry, municipalities, packaging, fisheries</t>
        </is>
      </c>
      <c r="K11" s="3" t="n">
        <v>0.75</v>
      </c>
      <c r="L11" s="2" t="inlineStr">
        <is>
          <t>production, consumption, recycling, disposal</t>
        </is>
      </c>
      <c r="M11" s="3" t="n">
        <v>1</v>
      </c>
      <c r="N11"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11" s="3">
        <f>AVERAGE(G11,I11,K11,M11,P11)</f>
        <v/>
      </c>
      <c r="P11" s="3" t="n">
        <v>0.2</v>
      </c>
      <c r="Q11" s="2" t="inlineStr">
        <is>
          <t>Consumption</t>
        </is>
      </c>
      <c r="R11" s="2" t="inlineStr">
        <is>
          <t>Art. 6(4): National Economic Activities Inspection (INAE) shall inspect production, marketing and use of plastic bags.</t>
        </is>
      </c>
      <c r="S11" s="3" t="n">
        <v>1</v>
      </c>
      <c r="T11" s="3" t="n">
        <v>0.75</v>
      </c>
      <c r="U11" s="2" t="inlineStr">
        <is>
          <t>'Compete a Inspecção Nacional de Actividades Económicas fiscalizar a produção, comercialização e uso do saco plástico.' Authority (+0.25), enforcement via Art. 7 fines (+0.25), monitoring/inspection (+0.25). Receives 30% of fines (Art. 8).</t>
        </is>
      </c>
      <c r="V11" s="3">
        <f>AVERAGE(P11,T11)</f>
        <v/>
      </c>
      <c r="W11" s="2" t="inlineStr">
        <is>
          <t>Primary enforcement body for retail and production compliance.</t>
        </is>
      </c>
    </row>
    <row r="12">
      <c r="A12" s="2" t="inlineStr">
        <is>
          <t>Regulamento sobre a Gestão e Controlo do Saco de Plástico (Decreto n.º 16/2015, de 5 de Agosto)</t>
        </is>
      </c>
      <c r="B12" s="2" t="inlineStr">
        <is>
          <t>not available</t>
        </is>
      </c>
      <c r="C12" s="2" t="n">
        <v>2015</v>
      </c>
      <c r="D12"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12" s="2" t="n">
        <v>0</v>
      </c>
      <c r="F12" s="2" t="inlineStr"/>
      <c r="G12" s="3" t="n">
        <v>0.75</v>
      </c>
      <c r="H12" s="2" t="inlineStr">
        <is>
          <t>Executive decree (Decreto n.º 16/2015) approved by the Council of Ministers on 30 June 2015 and published 5 August 2015, under Lei 20/97 Art. 33 and Constitution Art. 204. Sub-legislative instrument, not parliamentary legislation.</t>
        </is>
      </c>
      <c r="I12" s="3" t="n">
        <v>0.75</v>
      </c>
      <c r="J12" s="2" t="inlineStr">
        <is>
          <t>production, consumption, retail, waste management, industry, municipalities, packaging, fisheries</t>
        </is>
      </c>
      <c r="K12" s="3" t="n">
        <v>0.75</v>
      </c>
      <c r="L12" s="2" t="inlineStr">
        <is>
          <t>production, consumption, recycling, disposal</t>
        </is>
      </c>
      <c r="M12" s="3" t="n">
        <v>1</v>
      </c>
      <c r="N12"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12" s="3">
        <f>AVERAGE(G12,I12,K12,M12,P12)</f>
        <v/>
      </c>
      <c r="P12" s="3" t="n">
        <v>0.2</v>
      </c>
      <c r="Q12" s="2" t="inlineStr">
        <is>
          <t>Waste management</t>
        </is>
      </c>
      <c r="R12" s="2" t="inlineStr">
        <is>
          <t>Art. 6(5): Local State bodies and Municipal Councils shall, within their competences, ensure compliance with this Regulation.</t>
        </is>
      </c>
      <c r="S12" s="3" t="n">
        <v>1</v>
      </c>
      <c r="T12" s="3" t="n">
        <v>0.25</v>
      </c>
      <c r="U12" s="2" t="inlineStr">
        <is>
          <t>'Compete aos Órgãos Locais do Estado e Conselhos Municipais... velar pelo cumprimento do presente Regulamento.' Municipal authority designated (+0.25).</t>
        </is>
      </c>
      <c r="V12" s="3">
        <f>AVERAGE(P12,T12)</f>
        <v/>
      </c>
      <c r="W12" s="2" t="inlineStr">
        <is>
          <t>Multi-level governance coordination (Rule 11); municipal waste-bag exception in Art. 4(2) links instrument to municipal waste streams.</t>
        </is>
      </c>
    </row>
    <row r="13">
      <c r="A13" s="2" t="inlineStr">
        <is>
          <t>Regulamento sobre a Gestão e Controlo do Saco de Plástico (Decreto n.º 16/2015, de 5 de Agosto)</t>
        </is>
      </c>
      <c r="B13" s="2" t="inlineStr">
        <is>
          <t>not available</t>
        </is>
      </c>
      <c r="C13" s="2" t="n">
        <v>2015</v>
      </c>
      <c r="D13"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13" s="2" t="n">
        <v>0</v>
      </c>
      <c r="F13" s="2" t="inlineStr"/>
      <c r="G13" s="3" t="n">
        <v>0.75</v>
      </c>
      <c r="H13" s="2" t="inlineStr">
        <is>
          <t>Executive decree (Decreto n.º 16/2015) approved by the Council of Ministers on 30 June 2015 and published 5 August 2015, under Lei 20/97 Art. 33 and Constitution Art. 204. Sub-legislative instrument, not parliamentary legislation.</t>
        </is>
      </c>
      <c r="I13" s="3" t="n">
        <v>0.75</v>
      </c>
      <c r="J13" s="2" t="inlineStr">
        <is>
          <t>production, consumption, retail, waste management, industry, municipalities, packaging, fisheries</t>
        </is>
      </c>
      <c r="K13" s="3" t="n">
        <v>0.75</v>
      </c>
      <c r="L13" s="2" t="inlineStr">
        <is>
          <t>production, consumption, recycling, disposal</t>
        </is>
      </c>
      <c r="M13" s="3" t="n">
        <v>1</v>
      </c>
      <c r="N13"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13" s="3">
        <f>AVERAGE(G13,I13,K13,M13,P13)</f>
        <v/>
      </c>
      <c r="P13" s="3" t="n">
        <v>0.6</v>
      </c>
      <c r="Q13" s="2" t="inlineStr">
        <is>
          <t>Consumption</t>
        </is>
      </c>
      <c r="R13" s="2" t="inlineStr">
        <is>
          <t>Art. 7: Fine schedule for violations — production below 30 µm (40 min. wages), import (80), retail/wholesale (50), free distribution (25), failure to display separate price (30), &gt;40% recycled in food retail (60). Repeat offences tripled. Payment within 20 days or coercive collection.</t>
        </is>
      </c>
      <c r="S13" s="3" t="n">
        <v>1</v>
      </c>
      <c r="T13" s="3" t="n">
        <v>0.75</v>
      </c>
      <c r="U13" s="2" t="inlineStr">
        <is>
          <t>'As transgressões às disposições deste Regulamento ficam sujeitas às seguintes multas.' Explicit fines (+0.25 enforcement). Payment to State Treasury within 20 days with coercive collection (+0.25). Triple repeat offences (+0.25). Inspecting entities designated via Art. 6 (+0.25).</t>
        </is>
      </c>
      <c r="V13" s="3">
        <f>AVERAGE(P13,T13)</f>
        <v/>
      </c>
      <c r="W13" s="2" t="inlineStr">
        <is>
          <t>Economic enforcement instrument; fine levels are quantified but are penalties not policy targets (Col E = 0).</t>
        </is>
      </c>
    </row>
    <row r="14">
      <c r="A14" s="2" t="inlineStr">
        <is>
          <t>Regulamento sobre a Gestão e Controlo do Saco de Plástico (Decreto n.º 16/2015, de 5 de Agosto)</t>
        </is>
      </c>
      <c r="B14" s="2" t="inlineStr">
        <is>
          <t>not available</t>
        </is>
      </c>
      <c r="C14" s="2" t="n">
        <v>2015</v>
      </c>
      <c r="D14"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14" s="2" t="n">
        <v>0</v>
      </c>
      <c r="F14" s="2" t="inlineStr"/>
      <c r="G14" s="3" t="n">
        <v>0.75</v>
      </c>
      <c r="H14" s="2" t="inlineStr">
        <is>
          <t>Executive decree (Decreto n.º 16/2015) approved by the Council of Ministers on 30 June 2015 and published 5 August 2015, under Lei 20/97 Art. 33 and Constitution Art. 204. Sub-legislative instrument, not parliamentary legislation.</t>
        </is>
      </c>
      <c r="I14" s="3" t="n">
        <v>0.75</v>
      </c>
      <c r="J14" s="2" t="inlineStr">
        <is>
          <t>production, consumption, retail, waste management, industry, municipalities, packaging, fisheries</t>
        </is>
      </c>
      <c r="K14" s="3" t="n">
        <v>0.75</v>
      </c>
      <c r="L14" s="2" t="inlineStr">
        <is>
          <t>production, consumption, recycling, disposal</t>
        </is>
      </c>
      <c r="M14" s="3" t="n">
        <v>1</v>
      </c>
      <c r="N14"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14" s="3">
        <f>AVERAGE(G14,I14,K14,M14,P14)</f>
        <v/>
      </c>
      <c r="P14" s="3" t="n">
        <v>0.6</v>
      </c>
      <c r="Q14" s="2" t="inlineStr">
        <is>
          <t>Waste management</t>
        </is>
      </c>
      <c r="R14" s="2" t="inlineStr">
        <is>
          <t>Art. 8: Fine revenue allocated 40% to State Budget, 30% to Environment Fund, 30% to inspecting entity; Environment Minister determines share of Fund proceeds for improving fiscalization services.</t>
        </is>
      </c>
      <c r="S14" s="3" t="n">
        <v>1</v>
      </c>
      <c r="T14" s="3" t="n">
        <v>0.5</v>
      </c>
      <c r="U14" s="2" t="inlineStr">
        <is>
          <t>'40% para o Orçamento do Estado; 30% para o Fundo do Ambiente; 30% para a Entidade Fiscalizadora.' Ring-fenced revenue allocation (+0.25). Environment Minister authority over Fund disbursement (+0.25).</t>
        </is>
      </c>
      <c r="V14" s="3">
        <f>AVERAGE(P14,T14)</f>
        <v/>
      </c>
      <c r="W14" s="2" t="inlineStr">
        <is>
          <t>Supports policy_budget = 1 (dedicated Environment Fund allocation from fines).</t>
        </is>
      </c>
    </row>
    <row r="15">
      <c r="A15" s="2" t="inlineStr">
        <is>
          <t>Regulamento sobre a Gestão e Controlo do Saco de Plástico (Decreto n.º 16/2015, de 5 de Agosto)</t>
        </is>
      </c>
      <c r="B15" s="2" t="inlineStr">
        <is>
          <t>not available</t>
        </is>
      </c>
      <c r="C15" s="2" t="n">
        <v>2015</v>
      </c>
      <c r="D15"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15" s="2" t="n">
        <v>0</v>
      </c>
      <c r="F15" s="2" t="inlineStr"/>
      <c r="G15" s="3" t="n">
        <v>0.75</v>
      </c>
      <c r="H15" s="2" t="inlineStr">
        <is>
          <t>Executive decree (Decreto n.º 16/2015) approved by the Council of Ministers on 30 June 2015 and published 5 August 2015, under Lei 20/97 Art. 33 and Constitution Art. 204. Sub-legislative instrument, not parliamentary legislation.</t>
        </is>
      </c>
      <c r="I15" s="3" t="n">
        <v>0.75</v>
      </c>
      <c r="J15" s="2" t="inlineStr">
        <is>
          <t>production, consumption, retail, waste management, industry, municipalities, packaging, fisheries</t>
        </is>
      </c>
      <c r="K15" s="3" t="n">
        <v>0.75</v>
      </c>
      <c r="L15" s="2" t="inlineStr">
        <is>
          <t>production, consumption, recycling, disposal</t>
        </is>
      </c>
      <c r="M15" s="3" t="n">
        <v>1</v>
      </c>
      <c r="N15"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15" s="3">
        <f>AVERAGE(G15,I15,K15,M15,P15)</f>
        <v/>
      </c>
      <c r="P15" s="3" t="n">
        <v>0.4</v>
      </c>
      <c r="Q15" s="2" t="inlineStr">
        <is>
          <t>Consumption</t>
        </is>
      </c>
      <c r="R15" s="2" t="inlineStr">
        <is>
          <t>Art. 6(1)(c): Environment Ministry shall adopt coordinated measures necessary to reduce plastic bag use and identify sustainable alternatives.</t>
        </is>
      </c>
      <c r="S15" s="3" t="n">
        <v>1</v>
      </c>
      <c r="T15" s="3" t="n">
        <v>0.25</v>
      </c>
      <c r="U15" s="2" t="inlineStr">
        <is>
          <t>'Adoptar em coordenação com os outros sectores, medidas necessárias para a redução do uso de saco de plástico e identificar alternativas sustentáveis.' Authority designated (+0.25); measures not specified — discretionary programme.</t>
        </is>
      </c>
      <c r="V15" s="3">
        <f>AVERAGE(P15,T15)</f>
        <v/>
      </c>
      <c r="W15" s="2" t="inlineStr">
        <is>
          <t>Information/voluntary-type programme instrument; complements regulatory bans. No quantifiable reduction target stated (hence Col E = 0).</t>
        </is>
      </c>
    </row>
    <row r="16">
      <c r="A16" s="2" t="inlineStr">
        <is>
          <t>Regulamento sobre a Gestão e Controlo do Saco de Plástico (Decreto n.º 16/2015, de 5 de Agosto)</t>
        </is>
      </c>
      <c r="B16" s="2" t="inlineStr">
        <is>
          <t>not available</t>
        </is>
      </c>
      <c r="C16" s="2" t="n">
        <v>2015</v>
      </c>
      <c r="D16" s="2" t="inlineStr">
        <is>
          <t>Establish norms and procedures for the management and control of plastic bags regarding their production, import, marketing and use, to reduce negative impacts on human health, infrastructure, biodiversity and the environment, principally due to non-biodegradability.</t>
        </is>
      </c>
      <c r="E16" s="2" t="n">
        <v>0</v>
      </c>
      <c r="F16" s="2" t="inlineStr"/>
      <c r="G16" s="3" t="n">
        <v>0.75</v>
      </c>
      <c r="H16" s="2" t="inlineStr">
        <is>
          <t>Executive decree (Decreto n.º 16/2015) approved by the Council of Ministers on 30 June 2015 and published 5 August 2015, under Lei 20/97 Art. 33 and Constitution Art. 204. Sub-legislative instrument, not parliamentary legislation.</t>
        </is>
      </c>
      <c r="I16" s="3" t="n">
        <v>0.75</v>
      </c>
      <c r="J16" s="2" t="inlineStr">
        <is>
          <t>production, consumption, retail, waste management, industry, municipalities, packaging, fisheries</t>
        </is>
      </c>
      <c r="K16" s="3" t="n">
        <v>0.75</v>
      </c>
      <c r="L16" s="2" t="inlineStr">
        <is>
          <t>production, consumption, recycling, disposal</t>
        </is>
      </c>
      <c r="M16" s="3" t="n">
        <v>1</v>
      </c>
      <c r="N16" s="2" t="inlineStr">
        <is>
          <t>Art. 8: Fines from violations are allocated 40% to State Budget, 30% to the Environment Fund (Fundo do Ambiente), and 30% to the inspecting entity. Art. 8(2): Environment Minister approves percentage of Environment Fund proceeds channelled to improving fiscalization services.</t>
        </is>
      </c>
      <c r="O16" s="3">
        <f>AVERAGE(G16,I16,K16,M16,P16)</f>
        <v/>
      </c>
      <c r="P16" s="3" t="n">
        <v>0.2</v>
      </c>
      <c r="Q16" s="2" t="inlineStr">
        <is>
          <t>Production</t>
        </is>
      </c>
      <c r="R16" s="2" t="inlineStr">
        <is>
          <t>Decreto Art. 2: Environment Minister, heard Industry Minister, may approve complementary norms for implementation of the Regulation.</t>
        </is>
      </c>
      <c r="S16" s="3" t="n">
        <v>0</v>
      </c>
      <c r="T16" s="3" t="n">
        <v>0.25</v>
      </c>
      <c r="U16" s="2" t="inlineStr">
        <is>
          <t>'Compete ao Ministro que superintende a área do Ambiente... aprovar normas complementares para a implementação do presente Regulamento.' Enabling power for subordinate norms (+0.25 authority).</t>
        </is>
      </c>
      <c r="V16" s="3">
        <f>AVERAGE(P16,T16)</f>
        <v/>
      </c>
      <c r="W16" s="2" t="inlineStr">
        <is>
          <t>In-force = 0 per Rule 12 unless complementary norms evidenced as adopted (not in this document).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Field</t>
        </is>
      </c>
      <c r="B1" t="inlineStr">
        <is>
          <t>Value</t>
        </is>
      </c>
    </row>
    <row r="2">
      <c r="A2" t="inlineStr">
        <is>
          <t>Country</t>
        </is>
      </c>
      <c r="B2" t="inlineStr">
        <is>
          <t>Mozambique</t>
        </is>
      </c>
    </row>
    <row r="3">
      <c r="A3" t="inlineStr">
        <is>
          <t>Index</t>
        </is>
      </c>
      <c r="B3" t="inlineStr">
        <is>
          <t>4P Index v2</t>
        </is>
      </c>
    </row>
    <row r="4">
      <c r="A4" t="inlineStr">
        <is>
          <t>Policy</t>
        </is>
      </c>
      <c r="B4" t="inlineStr">
        <is>
          <t>Regulamento sobre a Gestão e Controlo do Saco de Plástico (Decreto n.º 16/2015, de 5 de Agosto)</t>
        </is>
      </c>
    </row>
    <row r="5">
      <c r="A5" t="inlineStr">
        <is>
          <t>Source</t>
        </is>
      </c>
      <c r="B5" t="inlineStr">
        <is>
          <t>User upload: Regulation_on_Management_and_Control_of_Plastic_Bags_1994.pdf</t>
        </is>
      </c>
    </row>
    <row r="6">
      <c r="A6" t="inlineStr">
        <is>
          <t>Coding date</t>
        </is>
      </c>
      <c r="B6" t="inlineStr">
        <is>
          <t>June 2026</t>
        </is>
      </c>
    </row>
    <row r="7">
      <c r="A7" t="inlineStr">
        <is>
          <t>Total instrument rows</t>
        </is>
      </c>
      <c r="B7" t="n">
        <v>15</v>
      </c>
    </row>
    <row r="8">
      <c r="A8" t="inlineStr">
        <is>
          <t>Note</t>
        </is>
      </c>
      <c r="B8" t="inlineStr">
        <is>
          <t>Columns O and V use Excel formulas. policy_score = AVERAGE(G,I,K,M,P); instrument_score = AVERAGE(P,T).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2026-06-19T08:53:36Z</dcterms:created>
  <dcterms:modified xmlns:dcterms="http://purl.org/dc/terms/" xmlns:xsi="http://www.w3.org/2001/XMLSchema-instance" xsi:type="dcterms:W3CDTF">2026-06-19T08:53:36Z</dcterms:modified>
</cp:coreProperties>
</file>