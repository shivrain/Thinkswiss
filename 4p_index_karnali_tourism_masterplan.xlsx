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Score Reference"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1">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applyAlignment="1" pivotButton="0" quotePrefix="0" xfId="0">
      <alignment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8" customWidth="1" min="1" max="1"/>
    <col width="32"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6" customWidth="1" min="17" max="17"/>
    <col width="42" customWidth="1" min="18" max="18"/>
    <col width="10" customWidth="1" min="19" max="19"/>
    <col width="10" customWidth="1" min="20" max="20"/>
    <col width="42" customWidth="1" min="21" max="21"/>
    <col width="9" customWidth="1" min="22" max="22"/>
    <col width="42" customWidth="1" min="23" max="23"/>
    <col width="20" customWidth="1" min="24" max="24"/>
  </cols>
  <sheetData>
    <row r="1" ht="22" customHeight="1">
      <c r="A1" s="1" t="inlineStr">
        <is>
          <t>Plastic Pollution Policy Index (4P Index) — Coding Table</t>
        </is>
      </c>
    </row>
    <row r="2" ht="16" customHeight="1">
      <c r="A2" s="2" t="inlineStr">
        <is>
          <t>Policy: Karnali Province Tourism Master Plan 2076/77–2085/86 BS (2020/21–2029/30)  |  Country: Nepal (Karnali Province)  |  Year: 2020  |  Source: https://faolex.fao.org/docs/pdf/nep220153.pdf</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00" customHeight="1">
      <c r="A5" s="7" t="inlineStr">
        <is>
          <t>Karnali Province Tourism Master Plan 2076/77 – 2085/86 BS (2020/21–2029/30)</t>
        </is>
      </c>
      <c r="B5" s="7" t="inlineStr">
        <is>
          <t>https://faolex.fao.org/docs/pdf/nep220153.pdf</t>
        </is>
      </c>
      <c r="C5" s="8" t="n">
        <v>2020</v>
      </c>
      <c r="D5" s="7" t="inlineStr">
        <is>
          <t>To develop sustainable tourism in Karnali Province (Nepal) as an engine for economic and social transformation while preserving natural and cultural heritages; includes aspirational measures to ban plastic use in protected areas, establish solid waste management facilities and guidelines in tourism areas, and prevent plastic pollution at specific lake and wetland eco-tourism sites.</t>
        </is>
      </c>
      <c r="E5" s="9" t="n">
        <v>0</v>
      </c>
      <c r="F5" s="7" t="inlineStr"/>
      <c r="G5" s="9" t="n">
        <v>0.25</v>
      </c>
      <c r="H5" s="7" t="inlineStr">
        <is>
          <t>Sub-national provincial tourism master plan published January 2020 by the Ministry of Industry, Tourism, Forest and Environment (MoITFE) of Karnali Province, with WWF Nepal technical assistance. Issued as a guiding planning document through a consultative process — not enacted by any legislature. Contains aspirational commitments on plastic bans and waste management without quantifiable plastic-specific targets.</t>
        </is>
      </c>
      <c r="I5" s="9" t="n">
        <v>1</v>
      </c>
      <c r="J5" s="7" t="inlineStr">
        <is>
          <t>tourism, waste management, conservation, water, energy, transport, agriculture, municipalities, infrastructure</t>
        </is>
      </c>
      <c r="K5" s="9" t="n">
        <v>0.75</v>
      </c>
      <c r="L5" s="7" t="inlineStr">
        <is>
          <t>consumption, disposal, environmental leakage</t>
        </is>
      </c>
      <c r="M5" s="9" t="n">
        <v>0.5</v>
      </c>
      <c r="N5" s="7" t="inlineStr">
        <is>
          <t>Total plan budget NRs. 10,300,000,000. Programme 7 (Cultural and Natural Heritage Conservation), covering plastic ban and solid waste measures = NRs. 1,030,000,000 (10%). Programme 2 (Tourism Infrastructure Development and Upgrading), including waste management infrastructure = NRs. 3,605,000,000 (35%). Funded by three tiers of government plus development partners/donors. Not ring-fenced for plastic. (Executive Summary, p. iv–vii)</t>
        </is>
      </c>
      <c r="O5" s="10">
        <f>AVERAGE(G5,I5,K5,M5,P5)</f>
        <v/>
      </c>
      <c r="P5" s="11" t="n">
        <v>1</v>
      </c>
      <c r="Q5" s="12" t="inlineStr">
        <is>
          <t>Consumption</t>
        </is>
      </c>
      <c r="R5" s="13" t="inlineStr">
        <is>
          <t>Section 5.7.5 (p. 99), Programme 7 — Cultural and Natural Heritage Conservation: The plan commits to banning the use of plastic in Protected Areas as a measure to minimise and mitigate potential negative impacts of tourism on natural heritage. Text: '– Ban on use of plastic in Protected Area.' Relevant PAs in Karnali Province: Rara National Park and Shey-Phoksundo National Park.</t>
        </is>
      </c>
      <c r="S5" s="13" t="n">
        <v>0</v>
      </c>
      <c r="T5" s="11" t="n">
        <v>0.5</v>
      </c>
      <c r="U5" s="12" t="inlineStr">
        <is>
          <t>Sec. 5.7.5 (p. 99): '– Ban on use of plastic in Protected Area. Ensure safe and adequate waste and sewage management facilities in touristic areas.'
Action Plan (p. 127): '7.5 … Implement solid waste management guidelines / Leading: MoITFE, M/RM / Partner: DFO, BZUC, PAs.'
→ +0.25 responsible authority (MoITFE, M/RM designated at programme level).
→ +0 enforcement (no penalties stated).
→ +0 monitoring (no mechanism stated).
→ +0.25 unconditional (no exemptions stated).</t>
        </is>
      </c>
      <c r="V5" s="14">
        <f>AVERAGE(P5,T5)</f>
        <v/>
      </c>
      <c r="W5" s="12" t="inlineStr">
        <is>
          <t>Coded as Regulatory (ban) — explicit prohibition language. instrument_in_force = 0: ban appears in a planning document, not an enacted regulation; no subordinate binding instrument found. Responsible authority (+0.25) designated at programme level, not instrument-specifically — borderline case. If a subsequent provincial/local government ordinance operationalises this ban, update S to 1.
Cross-reference: Nepal's national Plastic Bag Control Directive 2082 applies nationwide; this plan's PA-level ban is narrower but potentially stricter for PA settings.</t>
        </is>
      </c>
      <c r="X5" s="15" t="inlineStr">
        <is>
          <t>Instrument 1 — Ban on plastic in Protected Areas</t>
        </is>
      </c>
    </row>
    <row r="6" ht="200" customHeight="1">
      <c r="A6" s="7" t="inlineStr">
        <is>
          <t>Karnali Province Tourism Master Plan 2076/77 – 2085/86 BS (2020/21–2029/30)</t>
        </is>
      </c>
      <c r="B6" s="7" t="inlineStr">
        <is>
          <t>https://faolex.fao.org/docs/pdf/nep220153.pdf</t>
        </is>
      </c>
      <c r="C6" s="8" t="n">
        <v>2020</v>
      </c>
      <c r="D6" s="7" t="inlineStr">
        <is>
          <t>To develop sustainable tourism in Karnali Province (Nepal) as an engine for economic and social transformation while preserving natural and cultural heritages; includes aspirational measures to ban plastic use in protected areas, establish solid waste management facilities and guidelines in tourism areas, and prevent plastic pollution at specific lake and wetland eco-tourism sites.</t>
        </is>
      </c>
      <c r="E6" s="9" t="n">
        <v>0</v>
      </c>
      <c r="F6" s="7" t="inlineStr"/>
      <c r="G6" s="9" t="n">
        <v>0.25</v>
      </c>
      <c r="H6" s="7" t="inlineStr">
        <is>
          <t>Sub-national provincial tourism master plan published January 2020 by the Ministry of Industry, Tourism, Forest and Environment (MoITFE) of Karnali Province, with WWF Nepal technical assistance. Issued as a guiding planning document through a consultative process — not enacted by any legislature. Contains aspirational commitments on plastic bans and waste management without quantifiable plastic-specific targets.</t>
        </is>
      </c>
      <c r="I6" s="9" t="n">
        <v>1</v>
      </c>
      <c r="J6" s="7" t="inlineStr">
        <is>
          <t>tourism, waste management, conservation, water, energy, transport, agriculture, municipalities, infrastructure</t>
        </is>
      </c>
      <c r="K6" s="9" t="n">
        <v>0.75</v>
      </c>
      <c r="L6" s="7" t="inlineStr">
        <is>
          <t>consumption, disposal, environmental leakage</t>
        </is>
      </c>
      <c r="M6" s="9" t="n">
        <v>0.5</v>
      </c>
      <c r="N6" s="7" t="inlineStr">
        <is>
          <t>Total plan budget NRs. 10,300,000,000. Programme 7 (Cultural and Natural Heritage Conservation), covering plastic ban and solid waste measures = NRs. 1,030,000,000 (10%). Programme 2 (Tourism Infrastructure Development and Upgrading), including waste management infrastructure = NRs. 3,605,000,000 (35%). Funded by three tiers of government plus development partners/donors. Not ring-fenced for plastic. (Executive Summary, p. iv–vii)</t>
        </is>
      </c>
      <c r="O6" s="10">
        <f>AVERAGE(G6,I6,K6,M6,P6)</f>
        <v/>
      </c>
      <c r="P6" s="11" t="n">
        <v>0.8</v>
      </c>
      <c r="Q6" s="12" t="inlineStr">
        <is>
          <t>Waste management</t>
        </is>
      </c>
      <c r="R6" s="13" t="inlineStr">
        <is>
          <t>Sections 5.7.5 and Chapter 7 Action Plan item 7.5: The plan commits to (a) ensuring safe and adequate waste and sewage management facilities in touristic areas; (b) controlling and managing solid waste and sludge in high-altitude Yarsagumba collection areas, including a waste collection and management system; (c) implementing solid waste management guidelines. MoITFE and Municipalities/Rural Municipalities (M/RM) are designated lead institutions; DFO, BZUC, and PA offices are partners.</t>
        </is>
      </c>
      <c r="S6" s="13" t="n">
        <v>0</v>
      </c>
      <c r="T6" s="11" t="n">
        <v>0.5</v>
      </c>
      <c r="U6" s="12" t="inlineStr">
        <is>
          <t>Sec. 5.7.5 (p. 99): '– Ensure safe and adequate waste and sewage management facilities in touristic areas.'
'– Control and manage solid waste, sludge … waste collection and management system …'
Action Plan (p. 127): 'Implement solid waste management guidelines / Leading: MoITFE, M/RM / Partner: DFO, BZUC, PAs.'
→ +0.25 responsible authority.
→ +0 enforcement. → +0 monitoring. → +0.25 unconditional.</t>
        </is>
      </c>
      <c r="V6" s="14">
        <f>AVERAGE(P6,T6)</f>
        <v/>
      </c>
      <c r="W6" s="12" t="inlineStr">
        <is>
          <t>Combines infrastructure (waste/sewage facilities) and governance (guidelines) elements; highest type — Infrastructure (0.80) — applied per coding rules; governance aspect noted. No explicit mention of plastic in this instrument; relevance via Criterion (c) (waste management instrument commonly applying to plastic waste streams). BORDERLINE: P = 0.20 (governance/planning requirement) defensible if facility commitment is viewed as purely aspirational rather than a specific construction project.
Contextual plastic evidence — Sec. 2.8.1 (p. 27): 'Plastic wrapper, mineral plastic bottles, glass bottles and tin that are not biodegradable pose threats to environment.'</t>
        </is>
      </c>
      <c r="X6" s="15" t="inlineStr">
        <is>
          <t>Instrument 2 — Solid waste management facilities &amp; guidelines for tourism areas</t>
        </is>
      </c>
    </row>
    <row r="7" ht="200" customHeight="1">
      <c r="A7" s="7" t="inlineStr">
        <is>
          <t>Karnali Province Tourism Master Plan 2076/77 – 2085/86 BS (2020/21–2029/30)</t>
        </is>
      </c>
      <c r="B7" s="7" t="inlineStr">
        <is>
          <t>https://faolex.fao.org/docs/pdf/nep220153.pdf</t>
        </is>
      </c>
      <c r="C7" s="8" t="n">
        <v>2020</v>
      </c>
      <c r="D7" s="7" t="inlineStr">
        <is>
          <t>To develop sustainable tourism in Karnali Province (Nepal) as an engine for economic and social transformation while preserving natural and cultural heritages; includes aspirational measures to ban plastic use in protected areas, establish solid waste management facilities and guidelines in tourism areas, and prevent plastic pollution at specific lake and wetland eco-tourism sites.</t>
        </is>
      </c>
      <c r="E7" s="9" t="n">
        <v>0</v>
      </c>
      <c r="F7" s="7" t="inlineStr"/>
      <c r="G7" s="9" t="n">
        <v>0.25</v>
      </c>
      <c r="H7" s="7" t="inlineStr">
        <is>
          <t>Sub-national provincial tourism master plan published January 2020 by the Ministry of Industry, Tourism, Forest and Environment (MoITFE) of Karnali Province, with WWF Nepal technical assistance. Issued as a guiding planning document through a consultative process — not enacted by any legislature. Contains aspirational commitments on plastic bans and waste management without quantifiable plastic-specific targets.</t>
        </is>
      </c>
      <c r="I7" s="9" t="n">
        <v>1</v>
      </c>
      <c r="J7" s="7" t="inlineStr">
        <is>
          <t>tourism, waste management, conservation, water, energy, transport, agriculture, municipalities, infrastructure</t>
        </is>
      </c>
      <c r="K7" s="9" t="n">
        <v>0.75</v>
      </c>
      <c r="L7" s="7" t="inlineStr">
        <is>
          <t>consumption, disposal, environmental leakage</t>
        </is>
      </c>
      <c r="M7" s="9" t="n">
        <v>0.5</v>
      </c>
      <c r="N7" s="7" t="inlineStr">
        <is>
          <t>Total plan budget NRs. 10,300,000,000. Programme 7 (Cultural and Natural Heritage Conservation), covering plastic ban and solid waste measures = NRs. 1,030,000,000 (10%). Programme 2 (Tourism Infrastructure Development and Upgrading), including waste management infrastructure = NRs. 3,605,000,000 (35%). Funded by three tiers of government plus development partners/donors. Not ring-fenced for plastic. (Executive Summary, p. iv–vii)</t>
        </is>
      </c>
      <c r="O7" s="10">
        <f>AVERAGE(G7,I7,K7,M7,P7)</f>
        <v/>
      </c>
      <c r="P7" s="16" t="n">
        <v>1</v>
      </c>
      <c r="Q7" s="17" t="inlineStr">
        <is>
          <t>Consumption</t>
        </is>
      </c>
      <c r="R7" s="18" t="inlineStr">
        <is>
          <t>Appendix 1 — Strategic Tourism Projects (p. 138): Development plans for two lake eco-tourism hubs include explicit bans on plastic and bottles as conservation measures.
(1) Syarpu Tal Eco-tourism Hub (West Rukum, Banfikot Rural Municipality): 'ban on use of plastic and bottles.'
(2) Kubhinde Daha Eco-tourism Hub (Salyan): 'ban on use of plastic and bottles.'
Both bans appear alongside siltation control, drainage management, invasive species removal, and habitat restoration measures.</t>
        </is>
      </c>
      <c r="S7" s="18" t="n">
        <v>0</v>
      </c>
      <c r="T7" s="16" t="n">
        <v>0.25</v>
      </c>
      <c r="U7" s="17" t="inlineStr">
        <is>
          <t>Appendix 1, Syarpu Tal and Kubhinde Daha project descriptions (p. 138):
'To conserve the lake, develop siltation controlling mechanism at the mouth (head), control draining house-hold sewage into lake water (develop outer drainage), re-store endemic fish by removing invasive imported fish species; plant local but ornamental trees and flowers around the lake road; ban on use of plastic and bottles.'
(Identical language at both lake sites.)
→ +0 responsible authority (not designated for site-specific ban).
→ +0 enforcement. → +0 monitoring.
→ +0.25 unconditional (no exemptions stated).</t>
        </is>
      </c>
      <c r="V7" s="14">
        <f>AVERAGE(P7,T7)</f>
        <v/>
      </c>
      <c r="W7" s="17" t="inlineStr">
        <is>
          <t>Site-specific bans at two lakes that are NOT designated national protected areas (making this distinct from Instrument 1). Identical wording at both sites suggests template language. If Syarpu Tal or Kubhinde Daha are subsequently declared provincial conservation areas, this instrument could be subsumed under Instrument 1.
T = 0.25: only 'unconditional' sub-score met; no authority, enforcement, or monitoring explicitly evidenced at the project level.</t>
        </is>
      </c>
      <c r="X7" s="15" t="inlineStr">
        <is>
          <t>Instrument 3 — Plastic/bottle bans at Syarpu Tal &amp; Kubhinde Daha lake sites</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4" customWidth="1" min="1" max="1"/>
    <col width="75" customWidth="1" min="2" max="2"/>
  </cols>
  <sheetData>
    <row r="1" ht="20" customHeight="1">
      <c r="A1" s="19" t="inlineStr">
        <is>
          <t>POLICY TYPE (Col G)</t>
        </is>
      </c>
    </row>
    <row r="2" ht="20" customHeight="1">
      <c r="A2" s="20" t="inlineStr">
        <is>
          <t>Score</t>
        </is>
      </c>
      <c r="B2" s="20" t="inlineStr">
        <is>
          <t>Description</t>
        </is>
      </c>
    </row>
    <row r="3" ht="20" customHeight="1">
      <c r="A3" s="21" t="n">
        <v>0.25</v>
      </c>
      <c r="B3" s="22" t="inlineStr">
        <is>
          <t>Strategy, plan, or programme — aspirational commitments without concrete targets</t>
        </is>
      </c>
    </row>
    <row r="4" ht="20" customHeight="1">
      <c r="A4" s="21" t="n">
        <v>0.5</v>
      </c>
      <c r="B4" s="22" t="inlineStr">
        <is>
          <t>Strategy, plan, or programme — incorporates quantifiable targets</t>
        </is>
      </c>
    </row>
    <row r="5" ht="20" customHeight="1">
      <c r="A5" s="21" t="n">
        <v>0.75</v>
      </c>
      <c r="B5" s="22" t="inlineStr">
        <is>
          <t>Regulation or executive decree (sub-legislative, issued by executive branch)</t>
        </is>
      </c>
    </row>
    <row r="6" ht="20" customHeight="1">
      <c r="A6" s="21" t="n">
        <v>1</v>
      </c>
      <c r="B6" s="22" t="inlineStr">
        <is>
          <t>Legislation enacted by parliament or equivalent legislative body</t>
        </is>
      </c>
    </row>
    <row r="7" ht="20" customHeight="1">
      <c r="A7" s="23" t="inlineStr"/>
    </row>
    <row r="8" ht="20" customHeight="1">
      <c r="A8" s="19" t="inlineStr">
        <is>
          <t>POLICY INTEGRATION (Col I)</t>
        </is>
      </c>
    </row>
    <row r="9" ht="20" customHeight="1">
      <c r="A9" s="20" t="inlineStr">
        <is>
          <t>Score</t>
        </is>
      </c>
      <c r="B9" s="20" t="inlineStr">
        <is>
          <t>Description</t>
        </is>
      </c>
    </row>
    <row r="10" ht="20" customHeight="1">
      <c r="A10" s="21" t="n">
        <v>0</v>
      </c>
      <c r="B10" s="22" t="inlineStr">
        <is>
          <t>0 sectors</t>
        </is>
      </c>
    </row>
    <row r="11" ht="20" customHeight="1">
      <c r="A11" s="21" t="n">
        <v>0.25</v>
      </c>
      <c r="B11" s="22" t="inlineStr">
        <is>
          <t>1–2 sectors</t>
        </is>
      </c>
    </row>
    <row r="12" ht="20" customHeight="1">
      <c r="A12" s="21" t="n">
        <v>0.5</v>
      </c>
      <c r="B12" s="22" t="inlineStr">
        <is>
          <t>3–4 sectors</t>
        </is>
      </c>
    </row>
    <row r="13" ht="20" customHeight="1">
      <c r="A13" s="21" t="n">
        <v>0.75</v>
      </c>
      <c r="B13" s="22" t="inlineStr">
        <is>
          <t>5–6 sectors</t>
        </is>
      </c>
    </row>
    <row r="14" ht="20" customHeight="1">
      <c r="A14" s="21" t="n">
        <v>1</v>
      </c>
      <c r="B14" s="22" t="inlineStr">
        <is>
          <t>7 or more sectors</t>
        </is>
      </c>
    </row>
    <row r="15" ht="20" customHeight="1">
      <c r="A15" s="23" t="inlineStr"/>
    </row>
    <row r="16" ht="20" customHeight="1">
      <c r="A16" s="19" t="inlineStr">
        <is>
          <t>POLICY CIRCULARITY (Col K)</t>
        </is>
      </c>
    </row>
    <row r="17" ht="20" customHeight="1">
      <c r="A17" s="20" t="inlineStr">
        <is>
          <t>Score</t>
        </is>
      </c>
      <c r="B17" s="20" t="inlineStr">
        <is>
          <t>Description</t>
        </is>
      </c>
    </row>
    <row r="18" ht="20" customHeight="1">
      <c r="A18" s="21" t="n">
        <v>0.25</v>
      </c>
      <c r="B18" s="22" t="inlineStr">
        <is>
          <t>1 life-cycle phase</t>
        </is>
      </c>
    </row>
    <row r="19" ht="20" customHeight="1">
      <c r="A19" s="21" t="n">
        <v>0.5</v>
      </c>
      <c r="B19" s="22" t="inlineStr">
        <is>
          <t>2 life-cycle phases</t>
        </is>
      </c>
    </row>
    <row r="20" ht="20" customHeight="1">
      <c r="A20" s="21" t="n">
        <v>0.75</v>
      </c>
      <c r="B20" s="22" t="inlineStr">
        <is>
          <t>3–4 life-cycle phases</t>
        </is>
      </c>
    </row>
    <row r="21" ht="20" customHeight="1">
      <c r="A21" s="21" t="n">
        <v>1</v>
      </c>
      <c r="B21" s="22" t="inlineStr">
        <is>
          <t>All 5 phases (production, consumption, recycling, disposal, environmental leakage)</t>
        </is>
      </c>
    </row>
    <row r="22" ht="20" customHeight="1">
      <c r="A22" s="23" t="inlineStr"/>
    </row>
    <row r="23" ht="20" customHeight="1">
      <c r="A23" s="19" t="inlineStr">
        <is>
          <t>POLICY BUDGET (Col M)</t>
        </is>
      </c>
    </row>
    <row r="24" ht="20" customHeight="1">
      <c r="A24" s="20" t="inlineStr">
        <is>
          <t>Score</t>
        </is>
      </c>
      <c r="B24" s="20" t="inlineStr">
        <is>
          <t>Description</t>
        </is>
      </c>
    </row>
    <row r="25" ht="20" customHeight="1">
      <c r="A25" s="21" t="n">
        <v>0</v>
      </c>
      <c r="B25" s="22" t="inlineStr">
        <is>
          <t>No budget or funding source mentioned</t>
        </is>
      </c>
    </row>
    <row r="26" ht="20" customHeight="1">
      <c r="A26" s="21" t="n">
        <v>0.5</v>
      </c>
      <c r="B26" s="22" t="inlineStr">
        <is>
          <t>Budget/funding source mentioned (not ring-fenced)</t>
        </is>
      </c>
    </row>
    <row r="27" ht="20" customHeight="1">
      <c r="A27" s="21" t="n">
        <v>1</v>
      </c>
      <c r="B27" s="22" t="inlineStr">
        <is>
          <t>Ring-fenced budget or self-generating fund (dedicated fund, levy, tax)</t>
        </is>
      </c>
    </row>
    <row r="28" ht="20" customHeight="1">
      <c r="A28" s="23" t="inlineStr"/>
    </row>
    <row r="29" ht="20" customHeight="1">
      <c r="A29" s="19" t="inlineStr">
        <is>
          <t>INSTRUMENT TYPE (Col P)</t>
        </is>
      </c>
    </row>
    <row r="30" ht="20" customHeight="1">
      <c r="A30" s="20" t="inlineStr">
        <is>
          <t>Score</t>
        </is>
      </c>
      <c r="B30" s="20" t="inlineStr">
        <is>
          <t>Description</t>
        </is>
      </c>
    </row>
    <row r="31" ht="20" customHeight="1">
      <c r="A31" s="21" t="n">
        <v>0</v>
      </c>
      <c r="B31" s="22" t="inlineStr">
        <is>
          <t>No instrument</t>
        </is>
      </c>
    </row>
    <row r="32" ht="20" customHeight="1">
      <c r="A32" s="21" t="n">
        <v>0.2</v>
      </c>
      <c r="B32" s="22" t="inlineStr">
        <is>
          <t>Governance &amp; coordination (coordinating body, planning requirement, role assignment)</t>
        </is>
      </c>
    </row>
    <row r="33" ht="20" customHeight="1">
      <c r="A33" s="21" t="n">
        <v>0.4</v>
      </c>
      <c r="B33" s="22" t="inlineStr">
        <is>
          <t>Information &amp; voluntary (awareness campaigns, labelling, voluntary agreements)</t>
        </is>
      </c>
    </row>
    <row r="34" ht="20" customHeight="1">
      <c r="A34" s="21" t="n">
        <v>0.6</v>
      </c>
      <c r="B34" s="22" t="inlineStr">
        <is>
          <t>Economic (taxes, levies, deposit-refund schemes, subsidies)</t>
        </is>
      </c>
    </row>
    <row r="35" ht="20" customHeight="1">
      <c r="A35" s="21" t="n">
        <v>0.8</v>
      </c>
      <c r="B35" s="22" t="inlineStr">
        <is>
          <t>Infrastructure (waste management facility construction, recycling infrastructure)</t>
        </is>
      </c>
    </row>
    <row r="36" ht="20" customHeight="1">
      <c r="A36" s="21" t="n">
        <v>1</v>
      </c>
      <c r="B36" s="22" t="inlineStr">
        <is>
          <t>Regulatory (bans, mandatory standards, mandatory take-back, EPR obligations)</t>
        </is>
      </c>
    </row>
    <row r="37" ht="20" customHeight="1">
      <c r="A37" s="23" t="inlineStr"/>
    </row>
    <row r="38" ht="20" customHeight="1">
      <c r="A38" s="19" t="inlineStr">
        <is>
          <t>INSTRUMENT IN FORCE (Col S)</t>
        </is>
      </c>
    </row>
    <row r="39" ht="20" customHeight="1">
      <c r="A39" s="20" t="inlineStr">
        <is>
          <t>Score</t>
        </is>
      </c>
      <c r="B39" s="20" t="inlineStr">
        <is>
          <t>Description</t>
        </is>
      </c>
    </row>
    <row r="40" ht="20" customHeight="1">
      <c r="A40" s="21" t="n">
        <v>0</v>
      </c>
      <c r="B40" s="22" t="inlineStr">
        <is>
          <t>Not in force — enabling power not yet exercised, or aspirational/contingency measure</t>
        </is>
      </c>
    </row>
    <row r="41" ht="20" customHeight="1">
      <c r="A41" s="21" t="n">
        <v>1</v>
      </c>
      <c r="B41" s="22" t="inlineStr">
        <is>
          <t>In force — operative and binding (shall/must/prohibited, or operationalised by subordinate instrument)</t>
        </is>
      </c>
    </row>
    <row r="42" ht="20" customHeight="1">
      <c r="A42" s="23" t="inlineStr"/>
    </row>
    <row r="43" ht="20" customHeight="1">
      <c r="A43" s="19" t="inlineStr">
        <is>
          <t>INSTRUMENT IMPLEMENTATION (Col T — additive, max 1.0)</t>
        </is>
      </c>
    </row>
    <row r="44" ht="20" customHeight="1">
      <c r="A44" s="20" t="inlineStr">
        <is>
          <t>Sub-score</t>
        </is>
      </c>
      <c r="B44" s="20" t="inlineStr">
        <is>
          <t>Criterion (each must be explicitly evidenced)</t>
        </is>
      </c>
    </row>
    <row r="45" ht="20" customHeight="1">
      <c r="A45" s="23" t="inlineStr">
        <is>
          <t>+0.25</t>
        </is>
      </c>
      <c r="B45" s="22" t="inlineStr">
        <is>
          <t>Responsible authority explicitly established or designated</t>
        </is>
      </c>
    </row>
    <row r="46" ht="20" customHeight="1">
      <c r="A46" s="23" t="inlineStr">
        <is>
          <t>+0.25</t>
        </is>
      </c>
      <c r="B46" s="22" t="inlineStr">
        <is>
          <t>Enforcement (fines, penalties, enforcement measures)</t>
        </is>
      </c>
    </row>
    <row r="47" ht="20" customHeight="1">
      <c r="A47" s="23" t="inlineStr">
        <is>
          <t>+0.25</t>
        </is>
      </c>
      <c r="B47" s="22" t="inlineStr">
        <is>
          <t>Monitoring mechanism (inspections, audits, data collection)</t>
        </is>
      </c>
    </row>
    <row r="48" ht="20" customHeight="1">
      <c r="A48" s="23" t="inlineStr">
        <is>
          <t>+0.25</t>
        </is>
      </c>
      <c r="B48" s="22" t="inlineStr">
        <is>
          <t>Unconditional (no exemptions or loopholes)</t>
        </is>
      </c>
    </row>
    <row r="49" ht="20" customHeight="1">
      <c r="A49" s="23" t="inlineStr"/>
    </row>
    <row r="50" ht="20" customHeight="1">
      <c r="A50" s="19" t="inlineStr">
        <is>
          <t>AUTO-CALCULATED FIELDS</t>
        </is>
      </c>
    </row>
    <row r="51" ht="20" customHeight="1">
      <c r="A51" s="20" t="inlineStr">
        <is>
          <t>Field</t>
        </is>
      </c>
      <c r="B51" s="20" t="inlineStr">
        <is>
          <t>Formula</t>
        </is>
      </c>
    </row>
    <row r="52" ht="20" customHeight="1">
      <c r="A52" s="23" t="inlineStr">
        <is>
          <t>policy_score (O)</t>
        </is>
      </c>
      <c r="B52" s="22">
        <f> AVERAGE(G, I, K, M, P)  — averaged per instrument row</f>
        <v/>
      </c>
    </row>
    <row r="53" ht="20" customHeight="1">
      <c r="A53" s="23" t="inlineStr">
        <is>
          <t>instrument_score (V)</t>
        </is>
      </c>
      <c r="B53" s="22">
        <f> AVERAGE(P, T)</f>
        <v/>
      </c>
    </row>
  </sheetData>
  <mergeCells count="8">
    <mergeCell ref="A38:B38"/>
    <mergeCell ref="A16:B16"/>
    <mergeCell ref="A29:B29"/>
    <mergeCell ref="A43:B43"/>
    <mergeCell ref="A1:B1"/>
    <mergeCell ref="A23:B23"/>
    <mergeCell ref="A8:B8"/>
    <mergeCell ref="A50:B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2026-06-10T09:10:52Z</dcterms:created>
  <dcterms:modified xsi:type="dcterms:W3CDTF">2026-06-10T09:10:52Z</dcterms:modified>
</cp:coreProperties>
</file>