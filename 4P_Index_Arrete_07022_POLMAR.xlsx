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2" s="2" t="inlineStr">
        <is>
          <t>https://www.hassmar.gouv.sn/sites/default/files/reglementations/PLAN%20POLMAR.pdf</t>
        </is>
      </c>
      <c r="C2" s="2" t="n">
        <v>2009</v>
      </c>
      <c r="D2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2" s="2" t="n">
        <v>1</v>
      </c>
      <c r="F2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2" s="2" t="n">
        <v>0.75</v>
      </c>
      <c r="H2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2" s="2" t="n">
        <v>1</v>
      </c>
      <c r="J2" s="2" t="inlineStr">
        <is>
          <t>pêche, transport maritime, environnement, littoral, industrie pétrolière, collectivités locales / fisheries, maritime transport, environment, coast, oil industry, local government</t>
        </is>
      </c>
      <c r="K2" s="2" t="n">
        <v>0.75</v>
      </c>
      <c r="L2" s="2" t="inlineStr">
        <is>
          <t>utilisation, élimination, milieu marin / use, disposal, marine environment</t>
        </is>
      </c>
      <c r="M2" s="2" t="n">
        <v>0.5</v>
      </c>
      <c r="N2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2" s="3">
        <f>AVERAGE(G2,I2,K2,M2,P2)</f>
        <v/>
      </c>
      <c r="P2" s="2" t="n">
        <v>0.8</v>
      </c>
      <c r="Q2" s="2" t="inlineStr">
        <is>
          <t>Marine environment</t>
        </is>
      </c>
      <c r="R2" s="2" t="inlineStr">
        <is>
          <t>Art. 2: 'La Pollution marine : l introduction physique ou chimique par l homme... de substances ou d énergies dans l environnement' / 'Marine pollution: physical or chemical introduction by man... of substances or energy into the environment' causing harm to health, biological resources, ecosystems or legitimate uses. 'Les Produits polluants : les hydrocarbures et les produits chimiques' / 'Pollutant products: hydrocarbons and chemical products'.</t>
        </is>
      </c>
      <c r="S2" s="2" t="n">
        <v>1</v>
      </c>
      <c r="T2" s="2" t="n">
        <v>0.5</v>
      </c>
      <c r="U2" s="2" t="inlineStr">
        <is>
          <t>Preamble cites MARPOL 73/78, OPRC 90, OPRC-HNS 2000, Abidjan Convention, UNCLOS. Art. 4: POLMAR is reference framework for hydrocarbon and chemical pollution in national waters.</t>
        </is>
      </c>
      <c r="V2" s="3">
        <f>AVERAGE(P2,T2)</f>
        <v/>
      </c>
      <c r="W2" s="2" t="inlineStr">
        <is>
          <t>Définition large incluant introduction physique de substances; MARPOL 73/78 (Annexe V déchets/plastiques navires) cité en préambule. / Broad definition including physical introduction of substances; MARPOL 73/78 (Annex V ship garbage/plastics) cited in preamble.</t>
        </is>
      </c>
    </row>
    <row r="3">
      <c r="A3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3" s="2" t="inlineStr">
        <is>
          <t>https://www.hassmar.gouv.sn/sites/default/files/reglementations/PLAN%20POLMAR.pdf</t>
        </is>
      </c>
      <c r="C3" s="2" t="n">
        <v>2009</v>
      </c>
      <c r="D3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3" s="2" t="n">
        <v>1</v>
      </c>
      <c r="F3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3" s="2" t="n">
        <v>0.75</v>
      </c>
      <c r="H3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3" s="2" t="n">
        <v>1</v>
      </c>
      <c r="J3" s="2" t="inlineStr">
        <is>
          <t>pêche, transport maritime, environnement, littoral, industrie pétrolière, collectivités locales / fisheries, maritime transport, environment, coast, oil industry, local government</t>
        </is>
      </c>
      <c r="K3" s="2" t="n">
        <v>0.75</v>
      </c>
      <c r="L3" s="2" t="inlineStr">
        <is>
          <t>utilisation, élimination, milieu marin / use, disposal, marine environment</t>
        </is>
      </c>
      <c r="M3" s="2" t="n">
        <v>0.5</v>
      </c>
      <c r="N3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3" s="3">
        <f>AVERAGE(G3,I3,K3,M3,P3)</f>
        <v/>
      </c>
      <c r="P3" s="2" t="n">
        <v>0.8</v>
      </c>
      <c r="Q3" s="2" t="inlineStr">
        <is>
          <t>Marine environment</t>
        </is>
      </c>
      <c r="R3" s="2" t="inlineStr">
        <is>
          <t>Arts. 3–6: POLMAR objectives — 'réduire les risques de pollution marine à un niveau aussi faible que possible' / 'reduce marine pollution risks to as low a level as possible'; 'identifier les risques, l impact probable de la pollution et les priorités de protection' / 'identify risks, probable pollution impact and protection priorities'; 'Le Plan POLMAR privilégie la prévention' / 'The POLMAR Plan prioritises prevention'.</t>
        </is>
      </c>
      <c r="S3" s="2" t="n">
        <v>1</v>
      </c>
      <c r="T3" s="2" t="n">
        <v>0.75</v>
      </c>
      <c r="U3" s="2" t="inlineStr">
        <is>
          <t>Art. 72: 'La prévention des incidents de pollution marine constitue l objectif majeur du Plan POLMAR' / 'Prevention of marine pollution incidents is the major objective of Plan POLMAR'. Art. 73: prevention measures include ratifying conventions, ship/installation inspections, sensitivity atlas.</t>
        </is>
      </c>
      <c r="V3" s="3">
        <f>AVERAGE(P3,T3)</f>
        <v/>
      </c>
      <c r="W3" s="2" t="inlineStr">
        <is>
          <t>Stratégie prévention-lutte; pertinent pour déchets plastiques marins en tant que pollution physique. / Prevention-response strategy; relevant for marine plastic waste as physical pollution.</t>
        </is>
      </c>
    </row>
    <row r="4">
      <c r="A4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4" s="2" t="inlineStr">
        <is>
          <t>https://www.hassmar.gouv.sn/sites/default/files/reglementations/PLAN%20POLMAR.pdf</t>
        </is>
      </c>
      <c r="C4" s="2" t="n">
        <v>2009</v>
      </c>
      <c r="D4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4" s="2" t="n">
        <v>1</v>
      </c>
      <c r="F4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4" s="2" t="n">
        <v>0.75</v>
      </c>
      <c r="H4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4" s="2" t="n">
        <v>1</v>
      </c>
      <c r="J4" s="2" t="inlineStr">
        <is>
          <t>pêche, transport maritime, environnement, littoral, industrie pétrolière, collectivités locales / fisheries, maritime transport, environment, coast, oil industry, local government</t>
        </is>
      </c>
      <c r="K4" s="2" t="n">
        <v>0.75</v>
      </c>
      <c r="L4" s="2" t="inlineStr">
        <is>
          <t>utilisation, élimination, milieu marin / use, disposal, marine environment</t>
        </is>
      </c>
      <c r="M4" s="2" t="n">
        <v>0.5</v>
      </c>
      <c r="N4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4" s="3">
        <f>AVERAGE(G4,I4,K4,M4,P4)</f>
        <v/>
      </c>
      <c r="P4" s="2" t="n">
        <v>1</v>
      </c>
      <c r="Q4" s="2" t="inlineStr">
        <is>
          <t>Marine environment</t>
        </is>
      </c>
      <c r="R4" s="2" t="inlineStr">
        <is>
          <t>Art. 7: Mandatory reporting — captains, shipowners, port authorities, industrial/responsible parties must report without delay to MRCC/RSC: 'tout évènement... qui entraîne ou risque d entraîner un rejet de produits polluants' / 'any event... causing or risking release of pollutant products'; 'toute présence de produits polluants dans les eaux sous juridiction nationale' / 'any presence of pollutant products in national waters'.</t>
        </is>
      </c>
      <c r="S4" s="2" t="n">
        <v>1</v>
      </c>
      <c r="T4" s="2" t="n">
        <v>0.75</v>
      </c>
      <c r="U4" s="2" t="inlineStr">
        <is>
          <t>Arts. 81–82: POLMAR watch via MRCC, RSC, associated centres and alert posts; immediate reporting required. Art. 8: Plan POLMAR triggered by Prime Minister's order in emergency.</t>
        </is>
      </c>
      <c r="V4" s="3">
        <f>AVERAGE(P4,T4)</f>
        <v/>
      </c>
      <c r="W4" s="2" t="inlineStr">
        <is>
          <t>Obligation de signalement; base pour détection déversements huile/chimique/déchets en mer. / Reporting obligation; basis for detecting oil/chemical/waste spills at sea.</t>
        </is>
      </c>
    </row>
    <row r="5">
      <c r="A5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5" s="2" t="inlineStr">
        <is>
          <t>https://www.hassmar.gouv.sn/sites/default/files/reglementations/PLAN%20POLMAR.pdf</t>
        </is>
      </c>
      <c r="C5" s="2" t="n">
        <v>2009</v>
      </c>
      <c r="D5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5" s="2" t="n">
        <v>1</v>
      </c>
      <c r="F5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5" s="2" t="n">
        <v>0.75</v>
      </c>
      <c r="H5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5" s="2" t="n">
        <v>1</v>
      </c>
      <c r="J5" s="2" t="inlineStr">
        <is>
          <t>pêche, transport maritime, environnement, littoral, industrie pétrolière, collectivités locales / fisheries, maritime transport, environment, coast, oil industry, local government</t>
        </is>
      </c>
      <c r="K5" s="2" t="n">
        <v>0.75</v>
      </c>
      <c r="L5" s="2" t="inlineStr">
        <is>
          <t>utilisation, élimination, milieu marin / use, disposal, marine environment</t>
        </is>
      </c>
      <c r="M5" s="2" t="n">
        <v>0.5</v>
      </c>
      <c r="N5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5" s="3">
        <f>AVERAGE(G5,I5,K5,M5,P5)</f>
        <v/>
      </c>
      <c r="P5" s="2" t="n">
        <v>0.8</v>
      </c>
      <c r="Q5" s="2" t="inlineStr">
        <is>
          <t>Marine environment</t>
        </is>
      </c>
      <c r="R5" s="2" t="inlineStr">
        <is>
          <t>Arts. 11–16: Mandatory sectoral plans — 'Les autorités portuaires doivent développer pour chaque port, un plan de prévention et de lutte' / 'Port authorities must develop a prevention and response plan for each port' with adequate decontamination means; 'Les Collectivités locales sur le littoral élaborent et mettent en œuvre des mesures pour prévenir les pollutions marines' / 'Coastal local authorities develop and implement measures to prevent marine pollution'; industry, ships, marine protected areas must have sectoral POLMAR plans (Arts. 13–15).</t>
        </is>
      </c>
      <c r="S5" s="2" t="n">
        <v>1</v>
      </c>
      <c r="T5" s="2" t="n">
        <v>0.75</v>
      </c>
      <c r="U5" s="2" t="inlineStr">
        <is>
          <t>Art. 16: sectoral plans (Arts. 11, 12, 13, 15) submitted for approval to National Coordinator and annexed to POLMAR. Art. 12: local authorities acquire Tier 1 or 2 response means according to sensitivity.</t>
        </is>
      </c>
      <c r="V5" s="3">
        <f>AVERAGE(P5,T5)</f>
        <v/>
      </c>
      <c r="W5" s="2" t="inlineStr">
        <is>
          <t>Plans locaux/portuaires pour pollution marine; cadre pour gestion détritus côtiers et déchets portuaires. / Local/port plans for marine pollution; framework for coastal litter and port waste management.</t>
        </is>
      </c>
    </row>
    <row r="6">
      <c r="A6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6" s="2" t="inlineStr">
        <is>
          <t>https://www.hassmar.gouv.sn/sites/default/files/reglementations/PLAN%20POLMAR.pdf</t>
        </is>
      </c>
      <c r="C6" s="2" t="n">
        <v>2009</v>
      </c>
      <c r="D6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6" s="2" t="n">
        <v>1</v>
      </c>
      <c r="F6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6" s="2" t="n">
        <v>0.75</v>
      </c>
      <c r="H6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6" s="2" t="n">
        <v>1</v>
      </c>
      <c r="J6" s="2" t="inlineStr">
        <is>
          <t>pêche, transport maritime, environnement, littoral, industrie pétrolière, collectivités locales / fisheries, maritime transport, environment, coast, oil industry, local government</t>
        </is>
      </c>
      <c r="K6" s="2" t="n">
        <v>0.75</v>
      </c>
      <c r="L6" s="2" t="inlineStr">
        <is>
          <t>utilisation, élimination, milieu marin / use, disposal, marine environment</t>
        </is>
      </c>
      <c r="M6" s="2" t="n">
        <v>0.5</v>
      </c>
      <c r="N6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6" s="3">
        <f>AVERAGE(G6,I6,K6,M6,P6)</f>
        <v/>
      </c>
      <c r="P6" s="2" t="n">
        <v>0.75</v>
      </c>
      <c r="Q6" s="2" t="inlineStr">
        <is>
          <t>Marine environment</t>
        </is>
      </c>
      <c r="R6" s="2" t="inlineStr">
        <is>
          <t>Arts. 17–28: Institutional framework — HASSMAR Secretary-General as National Coordinator; 'le Centre national de coordination de la lutte contre la pollution marine' / 'national marine pollution response coordination centre' (MRCC Dakar); RSC secondary centres in three maritime zones (North, Centre, South); associated coastal centres and alert posts.</t>
        </is>
      </c>
      <c r="S6" s="2" t="n">
        <v>1</v>
      </c>
      <c r="T6" s="2" t="n">
        <v>0.75</v>
      </c>
      <c r="U6" s="2" t="inlineStr">
        <is>
          <t>Art. 29: National Coordinator approves decontamination companies, maintains early warning system. Arts. 31–32: National and local coordination committees activated in emergencies. Art. 26: intervention personnel from military, public, private, volunteer and local authorities.</t>
        </is>
      </c>
      <c r="V6" s="3">
        <f>AVERAGE(P6,T6)</f>
        <v/>
      </c>
      <c r="W6" s="2" t="inlineStr">
        <is>
          <t>Architecture institutionnelle HASSMAR/MRCC; complète CENPOLMAR (2021) pour gouvernance pollution marine. / HASSMAR/MRCC institutional architecture; complements CENPOLMAR (2021) for marine pollution governance.</t>
        </is>
      </c>
    </row>
    <row r="7">
      <c r="A7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7" s="2" t="inlineStr">
        <is>
          <t>https://www.hassmar.gouv.sn/sites/default/files/reglementations/PLAN%20POLMAR.pdf</t>
        </is>
      </c>
      <c r="C7" s="2" t="n">
        <v>2009</v>
      </c>
      <c r="D7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7" s="2" t="n">
        <v>1</v>
      </c>
      <c r="F7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7" s="2" t="n">
        <v>0.75</v>
      </c>
      <c r="H7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7" s="2" t="n">
        <v>1</v>
      </c>
      <c r="J7" s="2" t="inlineStr">
        <is>
          <t>pêche, transport maritime, environnement, littoral, industrie pétrolière, collectivités locales / fisheries, maritime transport, environment, coast, oil industry, local government</t>
        </is>
      </c>
      <c r="K7" s="2" t="n">
        <v>0.75</v>
      </c>
      <c r="L7" s="2" t="inlineStr">
        <is>
          <t>utilisation, élimination, milieu marin / use, disposal, marine environment</t>
        </is>
      </c>
      <c r="M7" s="2" t="n">
        <v>0.5</v>
      </c>
      <c r="N7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7" s="3">
        <f>AVERAGE(G7,I7,K7,M7,P7)</f>
        <v/>
      </c>
      <c r="P7" s="2" t="n">
        <v>0.8</v>
      </c>
      <c r="Q7" s="2" t="inlineStr">
        <is>
          <t>Marine environment</t>
        </is>
      </c>
      <c r="R7" s="2" t="inlineStr">
        <is>
          <t>Art. 29: National Coordinator responsibilities include 'l agrément des sociétés de dépollution' / 'approval of decontamination companies' and 'l élaboration et la mise en place d un système national d information et d alerte précoce' / 'establishment of a national early warning information system'.</t>
        </is>
      </c>
      <c r="S7" s="2" t="n">
        <v>1</v>
      </c>
      <c r="T7" s="2" t="n">
        <v>0.75</v>
      </c>
      <c r="U7" s="2" t="inlineStr">
        <is>
          <t>Art. 29: also coordinates national policy, training programmes, communication/sensitisation plan, international cooperation. Art. 36 (Transport/Pêche): ship technical inspections, dangerous goods transport standards.</t>
        </is>
      </c>
      <c r="V7" s="3">
        <f>AVERAGE(P7,T7)</f>
        <v/>
      </c>
      <c r="W7" s="2" t="inlineStr">
        <is>
          <t>Agrément des sociétés de dépollution; pertinent pour opérateurs de nettoyage littoral/déchets marins. / Approval of decontamination companies; relevant for shoreline/marine waste cleanup operators.</t>
        </is>
      </c>
    </row>
    <row r="8">
      <c r="A8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8" s="2" t="inlineStr">
        <is>
          <t>https://www.hassmar.gouv.sn/sites/default/files/reglementations/PLAN%20POLMAR.pdf</t>
        </is>
      </c>
      <c r="C8" s="2" t="n">
        <v>2009</v>
      </c>
      <c r="D8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8" s="2" t="n">
        <v>1</v>
      </c>
      <c r="F8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8" s="2" t="n">
        <v>0.75</v>
      </c>
      <c r="H8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8" s="2" t="n">
        <v>1</v>
      </c>
      <c r="J8" s="2" t="inlineStr">
        <is>
          <t>pêche, transport maritime, environnement, littoral, industrie pétrolière, collectivités locales / fisheries, maritime transport, environment, coast, oil industry, local government</t>
        </is>
      </c>
      <c r="K8" s="2" t="n">
        <v>0.75</v>
      </c>
      <c r="L8" s="2" t="inlineStr">
        <is>
          <t>utilisation, élimination, milieu marin / use, disposal, marine environment</t>
        </is>
      </c>
      <c r="M8" s="2" t="n">
        <v>0.5</v>
      </c>
      <c r="N8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8" s="3">
        <f>AVERAGE(G8,I8,K8,M8,P8)</f>
        <v/>
      </c>
      <c r="P8" s="2" t="n">
        <v>1</v>
      </c>
      <c r="Q8" s="2" t="inlineStr">
        <is>
          <t>Marine environment</t>
        </is>
      </c>
      <c r="R8" s="2" t="inlineStr">
        <is>
          <t>Arts. 69–71: Three-tier spill classification — 'Tier 1... inférieur à 7 tonnes' / 'Tier 1... less than 7 tonnes'; 'Tier 2... compris entre 7 et 700 tonnes' / 'Tier 2... between 7 and 700 tonnes'; 'Tier 3... supérieur à 700 tonnes' / 'Tier 3... greater than 700 tonnes' of pollutant products. Tier 3 triggers national POLMAR by National Coordinator (Art. 94).</t>
        </is>
      </c>
      <c r="S8" s="2" t="n">
        <v>1</v>
      </c>
      <c r="T8" s="2" t="n">
        <v>1</v>
      </c>
      <c r="U8" s="2" t="inlineStr">
        <is>
          <t>Art. 68: graduated operational posture at three Tier levels. Art. 94: national trigger when zonal response insufficient, pollution affects ≥2 zones, or Tier 3 magnitude. Art. 8: Prime Minister's order for emergency trigger/lift.</t>
        </is>
      </c>
      <c r="V8" s="3">
        <f>AVERAGE(P8,T8)</f>
        <v/>
      </c>
      <c r="W8" s="2" t="inlineStr">
        <is>
          <t>Seuils quantitatifs (tonnes) pour escalade opérationnelle; applicables aux hydrocarbures/chimiques, pas spécifiquement plastiques. / Quantitative thresholds (tonnes) for operational escalation; applicable to oil/chemicals, not plastic-specific.</t>
        </is>
      </c>
    </row>
    <row r="9">
      <c r="A9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9" s="2" t="inlineStr">
        <is>
          <t>https://www.hassmar.gouv.sn/sites/default/files/reglementations/PLAN%20POLMAR.pdf</t>
        </is>
      </c>
      <c r="C9" s="2" t="n">
        <v>2009</v>
      </c>
      <c r="D9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9" s="2" t="n">
        <v>1</v>
      </c>
      <c r="F9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9" s="2" t="n">
        <v>0.75</v>
      </c>
      <c r="H9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9" s="2" t="n">
        <v>1</v>
      </c>
      <c r="J9" s="2" t="inlineStr">
        <is>
          <t>pêche, transport maritime, environnement, littoral, industrie pétrolière, collectivités locales / fisheries, maritime transport, environment, coast, oil industry, local government</t>
        </is>
      </c>
      <c r="K9" s="2" t="n">
        <v>0.75</v>
      </c>
      <c r="L9" s="2" t="inlineStr">
        <is>
          <t>utilisation, élimination, milieu marin / use, disposal, marine environment</t>
        </is>
      </c>
      <c r="M9" s="2" t="n">
        <v>0.5</v>
      </c>
      <c r="N9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9" s="3">
        <f>AVERAGE(G9,I9,K9,M9,P9)</f>
        <v/>
      </c>
      <c r="P9" s="2" t="n">
        <v>0.75</v>
      </c>
      <c r="Q9" s="2" t="inlineStr">
        <is>
          <t>Marine environment</t>
        </is>
      </c>
      <c r="R9" s="2" t="inlineStr">
        <is>
          <t>Art. 73: Prevention measures including 'ratifier les conventions maritimes pertinentes' / 'ratify relevant maritime conventions'; 'veiller à l application par les navires... de la réglementation en vigueur relative à la protection de l environnement marin' / 'ensure ships apply environmental protection regulations'; 'inspecter les installations et les industries du secteur maritime' / 'inspect maritime sector installations and industries'; 'constituer et prépositionner des stocks de niveau 1 ou 2 à proximité des sites sensibles' / 'pre-position Tier 1 or 2 stocks near sensitive sites'.</t>
        </is>
      </c>
      <c r="S9" s="2" t="n">
        <v>1</v>
      </c>
      <c r="T9" s="2" t="n">
        <v>0.75</v>
      </c>
      <c r="U9" s="2" t="inlineStr">
        <is>
          <t>Art. 36: port ballast water management and 'réception des déchets d exploitation' / 'reception of operational waste' from ships. Art. 37 (Environment): control of maritime installations, marine protected area stocks, waste treatment coordination.</t>
        </is>
      </c>
      <c r="V9" s="3">
        <f>AVERAGE(P9,T9)</f>
        <v/>
      </c>
      <c r="W9" s="2" t="inlineStr">
        <is>
          <t>Réception déchets d'exploitation navires (MARPOL V); mesure indirecte contre déchets plastiques en mer. / Ship operational waste reception (MARPOL V); indirect measure against plastic waste at sea.</t>
        </is>
      </c>
    </row>
    <row r="10">
      <c r="A10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10" s="2" t="inlineStr">
        <is>
          <t>https://www.hassmar.gouv.sn/sites/default/files/reglementations/PLAN%20POLMAR.pdf</t>
        </is>
      </c>
      <c r="C10" s="2" t="n">
        <v>2009</v>
      </c>
      <c r="D10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10" s="2" t="n">
        <v>1</v>
      </c>
      <c r="F10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10" s="2" t="n">
        <v>0.75</v>
      </c>
      <c r="H10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10" s="2" t="n">
        <v>1</v>
      </c>
      <c r="J10" s="2" t="inlineStr">
        <is>
          <t>pêche, transport maritime, environnement, littoral, industrie pétrolière, collectivités locales / fisheries, maritime transport, environment, coast, oil industry, local government</t>
        </is>
      </c>
      <c r="K10" s="2" t="n">
        <v>0.75</v>
      </c>
      <c r="L10" s="2" t="inlineStr">
        <is>
          <t>utilisation, élimination, milieu marin / use, disposal, marine environment</t>
        </is>
      </c>
      <c r="M10" s="2" t="n">
        <v>0.5</v>
      </c>
      <c r="N10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10" s="3">
        <f>AVERAGE(G10,I10,K10,M10,P10)</f>
        <v/>
      </c>
      <c r="P10" s="2" t="n">
        <v>1</v>
      </c>
      <c r="Q10" s="2" t="inlineStr">
        <is>
          <t>Disposal</t>
        </is>
      </c>
      <c r="R10" s="2" t="inlineStr">
        <is>
          <t>Art. 84: Response modes include 'récupérer les produits polluants déversés' / 'recover spilled pollutant products'; 'nettoyer et restaurer le littoral' / 'clean and restore the shoreline'; 'traiter les déchets' / 'treat waste'; protect sensitive marine/coastal resources; use dispersants per national legislation.</t>
        </is>
      </c>
      <c r="S10" s="2" t="n">
        <v>1</v>
      </c>
      <c r="T10" s="2" t="n">
        <v>0.75</v>
      </c>
      <c r="U10" s="2" t="inlineStr">
        <is>
          <t>Art. 83: maritime response (MRCC) from high sea to low-water mark; terrestrial response (Regional Governor) on beaches and rivers. Arts. 85–95: escalation from sectoral → initial → reinforced → national POLMAR.</t>
        </is>
      </c>
      <c r="V10" s="3">
        <f>AVERAGE(P10,T10)</f>
        <v/>
      </c>
      <c r="W10" s="2" t="inlineStr">
        <is>
          <t>Nettoyage/restauration du littoral et traitement des déchets; pertinent pour détritus plastiques côtiers. / Shoreline cleaning/restoration and waste treatment; relevant for coastal plastic litter.</t>
        </is>
      </c>
    </row>
    <row r="11">
      <c r="A11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11" s="2" t="inlineStr">
        <is>
          <t>https://www.hassmar.gouv.sn/sites/default/files/reglementations/PLAN%20POLMAR.pdf</t>
        </is>
      </c>
      <c r="C11" s="2" t="n">
        <v>2009</v>
      </c>
      <c r="D11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11" s="2" t="n">
        <v>1</v>
      </c>
      <c r="F11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11" s="2" t="n">
        <v>0.75</v>
      </c>
      <c r="H11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11" s="2" t="n">
        <v>1</v>
      </c>
      <c r="J11" s="2" t="inlineStr">
        <is>
          <t>pêche, transport maritime, environnement, littoral, industrie pétrolière, collectivités locales / fisheries, maritime transport, environment, coast, oil industry, local government</t>
        </is>
      </c>
      <c r="K11" s="2" t="n">
        <v>0.75</v>
      </c>
      <c r="L11" s="2" t="inlineStr">
        <is>
          <t>utilisation, élimination, milieu marin / use, disposal, marine environment</t>
        </is>
      </c>
      <c r="M11" s="2" t="n">
        <v>0.5</v>
      </c>
      <c r="N11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11" s="3">
        <f>AVERAGE(G11,I11,K11,M11,P11)</f>
        <v/>
      </c>
      <c r="P11" s="2" t="n">
        <v>0.8</v>
      </c>
      <c r="Q11" s="2" t="inlineStr">
        <is>
          <t>Disposal</t>
        </is>
      </c>
      <c r="R11" s="2" t="inlineStr">
        <is>
          <t>Art. 79: 'Le Ministère chargé de l Environnement identifie... les lieux de stockage provisoire de produits polluants et de déchets pollués' / 'Environment Ministry identifies... provisional storage sites for pollutant products and polluted waste'; final elimination and environmental impact monitoring subject to regulatory text.</t>
        </is>
      </c>
      <c r="S11" s="2" t="n">
        <v>1</v>
      </c>
      <c r="T11" s="2" t="n">
        <v>0.5</v>
      </c>
      <c r="U11" s="2" t="inlineStr">
        <is>
          <t>Art. 37: Environment Ministry coordinates 'le traitement des déchets et à la restauration des sites pollués' / 'waste treatment and restoration of polluted sites'. Arts. 40, 46, 57, 61: coastal storage of recovered pollutants and waste at ports/industry.</t>
        </is>
      </c>
      <c r="V11" s="3">
        <f>AVERAGE(P11,T11)</f>
        <v/>
      </c>
      <c r="W11" s="2" t="inlineStr">
        <is>
          <t>Gestion des déchets récupérés après opération POLMAR (incl. matériaux pollués/plastiques absorbants). / Management of waste recovered after POLMAR operations (incl. polluted/absorbent plastic materials).</t>
        </is>
      </c>
    </row>
    <row r="12">
      <c r="A12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12" s="2" t="inlineStr">
        <is>
          <t>https://www.hassmar.gouv.sn/sites/default/files/reglementations/PLAN%20POLMAR.pdf</t>
        </is>
      </c>
      <c r="C12" s="2" t="n">
        <v>2009</v>
      </c>
      <c r="D12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12" s="2" t="n">
        <v>1</v>
      </c>
      <c r="F12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12" s="2" t="n">
        <v>0.75</v>
      </c>
      <c r="H12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12" s="2" t="n">
        <v>1</v>
      </c>
      <c r="J12" s="2" t="inlineStr">
        <is>
          <t>pêche, transport maritime, environnement, littoral, industrie pétrolière, collectivités locales / fisheries, maritime transport, environment, coast, oil industry, local government</t>
        </is>
      </c>
      <c r="K12" s="2" t="n">
        <v>0.75</v>
      </c>
      <c r="L12" s="2" t="inlineStr">
        <is>
          <t>utilisation, élimination, milieu marin / use, disposal, marine environment</t>
        </is>
      </c>
      <c r="M12" s="2" t="n">
        <v>0.5</v>
      </c>
      <c r="N12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12" s="3">
        <f>AVERAGE(G12,I12,K12,M12,P12)</f>
        <v/>
      </c>
      <c r="P12" s="2" t="n">
        <v>0.75</v>
      </c>
      <c r="Q12" s="2" t="inlineStr">
        <is>
          <t>Marine environment</t>
        </is>
      </c>
      <c r="R12" s="2" t="inlineStr">
        <is>
          <t>Arts. 86–95: Graduated response — sectoral intervention by responsible structure; initial intervention by MRCC/RSC; reinforced intervention by Delegate; national POLMAR by National Coordinator. Art. 86: polluter must lead fight per sectoral plan and inform MRCC/RSC immediately.</t>
        </is>
      </c>
      <c r="S12" s="2" t="n">
        <v>1</v>
      </c>
      <c r="T12" s="2" t="n">
        <v>0.75</v>
      </c>
      <c r="U12" s="2" t="inlineStr">
        <is>
          <t>Arts. 88–89: Operations Coordinator and On-Scene Coordinator (OSC) roles defined. Art. 88: may requisition reinforcement means; operational control of all public/private means. Art. 91–92: reinforced intervention if initial response insufficient.</t>
        </is>
      </c>
      <c r="V12" s="3">
        <f>AVERAGE(P12,T12)</f>
        <v/>
      </c>
      <c r="W12" s="2" t="inlineStr">
        <is>
          <t>Procédure d'escalade opérationnelle; pollueur responsable de la première intervention. / Operational escalation procedure; polluter responsible for first response.</t>
        </is>
      </c>
    </row>
    <row r="13">
      <c r="A13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13" s="2" t="inlineStr">
        <is>
          <t>https://www.hassmar.gouv.sn/sites/default/files/reglementations/PLAN%20POLMAR.pdf</t>
        </is>
      </c>
      <c r="C13" s="2" t="n">
        <v>2009</v>
      </c>
      <c r="D13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13" s="2" t="n">
        <v>1</v>
      </c>
      <c r="F13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13" s="2" t="n">
        <v>0.75</v>
      </c>
      <c r="H13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13" s="2" t="n">
        <v>1</v>
      </c>
      <c r="J13" s="2" t="inlineStr">
        <is>
          <t>pêche, transport maritime, environnement, littoral, industrie pétrolière, collectivités locales / fisheries, maritime transport, environment, coast, oil industry, local government</t>
        </is>
      </c>
      <c r="K13" s="2" t="n">
        <v>0.75</v>
      </c>
      <c r="L13" s="2" t="inlineStr">
        <is>
          <t>utilisation, élimination, milieu marin / use, disposal, marine environment</t>
        </is>
      </c>
      <c r="M13" s="2" t="n">
        <v>0.5</v>
      </c>
      <c r="N13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13" s="3">
        <f>AVERAGE(G13,I13,K13,M13,P13)</f>
        <v/>
      </c>
      <c r="P13" s="2" t="n">
        <v>0.75</v>
      </c>
      <c r="Q13" s="2" t="inlineStr">
        <is>
          <t>Marine environment</t>
        </is>
      </c>
      <c r="R13" s="2" t="inlineStr">
        <is>
          <t>Art. 77: 'les services compétents de l Etat peuvent exiger l assistance du navire... Les frais... sont entièrement à la charge du navire et/ou de son armateur' / 'competent State services may require ship assistance... costs entirely borne by ship and/or shipowner'; State preserves indemnification rights; detailed register of actions, personnel and materials kept.</t>
        </is>
      </c>
      <c r="S13" s="2" t="n">
        <v>1</v>
      </c>
      <c r="T13" s="2" t="n">
        <v>0.75</v>
      </c>
      <c r="U13" s="2" t="inlineStr">
        <is>
          <t>Art. 77: injunction measures from confirmation of pollution danger. Arts. 93, 96: local/national coordination committees handle indemnification dossiers. Art. 44 (Justice Ministry): State litigation on marine pollution.</t>
        </is>
      </c>
      <c r="V13" s="3">
        <f>AVERAGE(P13,T13)</f>
        <v/>
      </c>
      <c r="W13" s="2" t="inlineStr">
        <is>
          <t>Principe pollueur-payeur; sanctions civiles/pénales complétées par Code environnement et Marine marchande. / Polluter-pays principle; civil/criminal sanctions complemented by Environmental and Merchant Marine Codes.</t>
        </is>
      </c>
    </row>
    <row r="14">
      <c r="A14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14" s="2" t="inlineStr">
        <is>
          <t>https://www.hassmar.gouv.sn/sites/default/files/reglementations/PLAN%20POLMAR.pdf</t>
        </is>
      </c>
      <c r="C14" s="2" t="n">
        <v>2009</v>
      </c>
      <c r="D14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14" s="2" t="n">
        <v>1</v>
      </c>
      <c r="F14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14" s="2" t="n">
        <v>0.75</v>
      </c>
      <c r="H14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14" s="2" t="n">
        <v>1</v>
      </c>
      <c r="J14" s="2" t="inlineStr">
        <is>
          <t>pêche, transport maritime, environnement, littoral, industrie pétrolière, collectivités locales / fisheries, maritime transport, environment, coast, oil industry, local government</t>
        </is>
      </c>
      <c r="K14" s="2" t="n">
        <v>0.75</v>
      </c>
      <c r="L14" s="2" t="inlineStr">
        <is>
          <t>utilisation, élimination, milieu marin / use, disposal, marine environment</t>
        </is>
      </c>
      <c r="M14" s="2" t="n">
        <v>0.5</v>
      </c>
      <c r="N14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14" s="3">
        <f>AVERAGE(G14,I14,K14,M14,P14)</f>
        <v/>
      </c>
      <c r="P14" s="2" t="n">
        <v>0.6</v>
      </c>
      <c r="Q14" s="2" t="inlineStr">
        <is>
          <t>Marine environment</t>
        </is>
      </c>
      <c r="R14" s="2" t="inlineStr">
        <is>
          <t>Art. 80: 'Le financement des dépenses afférentes à la mise en œuvre du Plan POLMAR est assuré par un fonds POLMAR' / 'Financing of POLMAR implementation costs is provided by a POLMAR fund'; modalities defined by regulation.</t>
        </is>
      </c>
      <c r="S14" s="2" t="n">
        <v>1</v>
      </c>
      <c r="T14" s="2" t="n">
        <v>0.5</v>
      </c>
      <c r="U14" s="2" t="inlineStr">
        <is>
          <t>Art. 29: National Coordinator mobilises resources for plan operation. Art. 63 (indirect): special financial participation for ICPE discharges affecting sanitation network. Art. 88: requisition of public/private reinforcement means.</t>
        </is>
      </c>
      <c r="V14" s="3">
        <f>AVERAGE(P14,T14)</f>
        <v/>
      </c>
      <c r="W14" s="2" t="inlineStr">
        <is>
          <t>Fonds POLMAR pour financement interventions; complète redevances pollueur (Art. 77). / POLMAR fund for intervention financing; complements polluter charges (Art. 77).</t>
        </is>
      </c>
    </row>
    <row r="15">
      <c r="A15" s="2" t="inlineStr">
        <is>
          <t>Arrêté n° 07022 du 16 juillet 2009 portant organisation et fonctionnement du Plan national de lutte contre la pollution marine (POLMAR) / Order No. 07022 of 16 July 2009 on organisation and operation of the National Marine Pollution Response Plan (POLMAR)</t>
        </is>
      </c>
      <c r="B15" s="2" t="inlineStr">
        <is>
          <t>https://www.hassmar.gouv.sn/sites/default/files/reglementations/PLAN%20POLMAR.pdf</t>
        </is>
      </c>
      <c r="C15" s="2" t="n">
        <v>2009</v>
      </c>
      <c r="D15" s="2" t="inlineStr">
        <is>
          <t>Organiser le système national de préparation et d'intervention contre la pollution marine (hydrocarbures, produits chimiques/HNS, déchets récupérés) via HASSMAR, MRCC/RSC, plans sectoriels et classification Tier — couvrir indirectement les déchets plastiques marins et la détritus côtiers via MARPOL 73/78, la réception des déchets d'exploitation des navires et le nettoyage/restauration du littoral, sans mesures spécifiques aux plastiques. / Organise the national marine pollution preparedness and response system (oil, chemicals/HNS, recovered waste) through HASSMAR, MRCC/RSC, sectoral plans and Tier classification — indirectly covering marine plastic waste and coastal litter through MARPOL 73/78, ship operational waste reception and shoreline cleaning/restoration, without plastic-specific measures.</t>
        </is>
      </c>
      <c r="E15" s="2" t="n">
        <v>1</v>
      </c>
      <c r="F15" s="2" t="inlineStr">
        <is>
          <t>'Tier 1 : déversement... inférieur à 7 tonnes' / 'Tier 1: spill... less than 7 tonnes'; 'Tier 2 :... compris entre 7 et 700 tonnes' / 'Tier 2:... between 7 and 700 tonnes'; 'Tier 3 :... supérieur à 700 tonnes' / 'Tier 3:... greater than 700 tonnes' of pollutant products in national waters.</t>
        </is>
      </c>
      <c r="G15" s="2" t="n">
        <v>0.75</v>
      </c>
      <c r="H15" s="2" t="inlineStr">
        <is>
          <t>Arrêté du Premier Ministre adopté le 16 juillet 2009, sur proposition du Ministre d'État, Ministre des Forces armées, opérationnalisant le décret n° 2006-322 (HASSMAR) et le PNIUM. Il s'agit d'un plan national et d'un texte réglementaire d'application exécutive, et non d'une loi parlementaire (≠1). / Prime Minister's order adopted on 16 July 2009, on proposal of the Minister of State, Minister of the Armed Forces, operationalising Decree No. 2006-322 (HASSMAR) and PNIUM. It is a national plan and executive implementing regulation, not parliamentary legislation (≠1).</t>
        </is>
      </c>
      <c r="I15" s="2" t="n">
        <v>1</v>
      </c>
      <c r="J15" s="2" t="inlineStr">
        <is>
          <t>pêche, transport maritime, environnement, littoral, industrie pétrolière, collectivités locales / fisheries, maritime transport, environment, coast, oil industry, local government</t>
        </is>
      </c>
      <c r="K15" s="2" t="n">
        <v>0.75</v>
      </c>
      <c r="L15" s="2" t="inlineStr">
        <is>
          <t>utilisation, élimination, milieu marin / use, disposal, marine environment</t>
        </is>
      </c>
      <c r="M15" s="2" t="n">
        <v>0.5</v>
      </c>
      <c r="N15" s="2" t="inlineStr">
        <is>
          <t>Art. 80: 'Le financement... est assuré par un fonds POLMAR' / 'Financing... is provided by a POLMAR fund'; Art. 77: 'Les frais de cette assistance sont entièrement à la charge du navire et/ou de son armateur' / 'Assistance costs are entirely borne by the ship and/or shipowner'; Art. 77: State preserves indemnification rights for pollution damage.</t>
        </is>
      </c>
      <c r="O15" s="3">
        <f>AVERAGE(G15,I15,K15,M15,P15)</f>
        <v/>
      </c>
      <c r="P15" s="2" t="n">
        <v>0.75</v>
      </c>
      <c r="Q15" s="2" t="inlineStr">
        <is>
          <t>Marine environment</t>
        </is>
      </c>
      <c r="R15" s="2" t="inlineStr">
        <is>
          <t>Arts. 74–76: Support activities — HASSMAR training plan for all stakeholders; regular exercises for notification/alert/crisis networks (periodicity set by Prime Minister instruction); 'plan de communication destiné... à sensibiliser les populations sur la pollution marine' / 'communication plan to raise public awareness on marine pollution'.</t>
        </is>
      </c>
      <c r="S15" s="2" t="n">
        <v>1</v>
      </c>
      <c r="T15" s="2" t="n">
        <v>0.5</v>
      </c>
      <c r="U15" s="2" t="inlineStr">
        <is>
          <t>Art. 101: HASSMAR centralises pollution incident statistics; exercises and quality reviews enable corrective updates. Art. 78: HASSMAR revises POLMAR based on exercises and incidents. Arts. 97–100: end-of-operations reporting and plan lift by Prime Minister.</t>
        </is>
      </c>
      <c r="V15" s="3">
        <f>AVERAGE(P15,T15)</f>
        <v/>
      </c>
      <c r="W15" s="2" t="inlineStr">
        <is>
          <t>Formation, exercices et sensibilisation; base pour prévention déchets marins plastiques. / Training, exercises and awareness; basis for marine plastic waste prevention.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2026-07-21T12:52:28Z</dcterms:created>
  <dcterms:modified xsi:type="dcterms:W3CDTF">2026-07-21T12:52:28Z</dcterms:modified>
</cp:coreProperties>
</file>