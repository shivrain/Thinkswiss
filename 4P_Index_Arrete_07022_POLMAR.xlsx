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Order No. 07022 of 16 July 2009 on organisation and operation of the National Marine Pollution Response Plan (POLMAR)</t>
        </is>
      </c>
      <c r="B2" s="2" t="inlineStr">
        <is>
          <t>https://www.hassmar.gouv.sn/sites/default/files/reglementations/PLAN%20POLMAR.pdf</t>
        </is>
      </c>
      <c r="C2" s="2" t="n">
        <v>2009</v>
      </c>
      <c r="D2" s="2" t="inlineStr">
        <is>
          <t>Organise national marine pollution preparedness and response (oil, chemicals, recovered waste) through HASSMAR/MRCC. Indirectly covers marine plastic waste via MARPOL 73/78 ship garbage reception, shoreline cleaning and recovered-waste treatment — no plastic-specific measures.</t>
        </is>
      </c>
      <c r="E2" s="2" t="n">
        <v>1</v>
      </c>
      <c r="F2" s="2" t="inlineStr">
        <is>
          <t>Arts. 69–71: Tier 1 spill less than 7 tonnes; Tier 2 between 7 and 700 tonnes; Tier 3 greater than 700 tonnes of pollutant products in national waters.</t>
        </is>
      </c>
      <c r="G2" s="2" t="n">
        <v>0.75</v>
      </c>
      <c r="H2" s="2" t="inlineStr">
        <is>
          <t>Prime Minister's order adopted 16 July 2009 operationalising Decree 2006-322 (HASSMAR). Executive implementing regulation (≠1.0 law).</t>
        </is>
      </c>
      <c r="I2" s="2" t="n">
        <v>0.75</v>
      </c>
      <c r="J2" s="2" t="inlineStr">
        <is>
          <t>fisheries, industry, environment, municipalities, waste management</t>
        </is>
      </c>
      <c r="K2" s="2" t="n">
        <v>0.5</v>
      </c>
      <c r="L2" s="2" t="inlineStr">
        <is>
          <t>disposal, environmental leakage</t>
        </is>
      </c>
      <c r="M2" s="2" t="n">
        <v>0.5</v>
      </c>
      <c r="N2" s="2" t="inlineStr">
        <is>
          <t>Art. 80: POLMAR fund finances implementation costs; Art. 77: ship/shipowner bears assistance costs.</t>
        </is>
      </c>
      <c r="O2" s="3">
        <f>AVERAGE(G2,I2,K2,M2,P2)</f>
        <v/>
      </c>
      <c r="P2" s="2" t="n">
        <v>0.4</v>
      </c>
      <c r="Q2" s="2" t="inlineStr">
        <is>
          <t>Environmental leakage</t>
        </is>
      </c>
      <c r="R2" s="2" t="inlineStr">
        <is>
          <t>Art. 73: prevention measures include ratifying maritime conventions, ensuring ships apply environmental regulations, and inspecting maritime installations. Preamble cites MARPOL 73/78.</t>
        </is>
      </c>
      <c r="S2" s="2" t="n">
        <v>1</v>
      </c>
      <c r="T2" s="2" t="n">
        <v>0.5</v>
      </c>
      <c r="U2" s="2" t="inlineStr">
        <is>
          <t>Art. 36: port reception of ship operational waste (+0.25 monitoring via inspections); HASSMAR National Coordinator designated (+0.25 authority). MARPOL Annex V covers ship garbage/plastics.</t>
        </is>
      </c>
      <c r="V2" s="3">
        <f>AVERAGE(P2,T2)</f>
        <v/>
      </c>
      <c r="W2" s="2" t="inlineStr">
        <is>
          <t>Most direct plastic link — MARPOL 73/78 ship garbage reception.</t>
        </is>
      </c>
    </row>
    <row r="3">
      <c r="A3" s="2" t="inlineStr">
        <is>
          <t>Order No. 07022 of 16 July 2009 on organisation and operation of the National Marine Pollution Response Plan (POLMAR)</t>
        </is>
      </c>
      <c r="B3" s="2" t="inlineStr">
        <is>
          <t>https://www.hassmar.gouv.sn/sites/default/files/reglementations/PLAN%20POLMAR.pdf</t>
        </is>
      </c>
      <c r="C3" s="2" t="n">
        <v>2009</v>
      </c>
      <c r="D3" s="2" t="inlineStr">
        <is>
          <t>Organise national marine pollution preparedness and response (oil, chemicals, recovered waste) through HASSMAR/MRCC. Indirectly covers marine plastic waste via MARPOL 73/78 ship garbage reception, shoreline cleaning and recovered-waste treatment — no plastic-specific measures.</t>
        </is>
      </c>
      <c r="E3" s="2" t="n">
        <v>1</v>
      </c>
      <c r="F3" s="2" t="inlineStr">
        <is>
          <t>Arts. 69–71: Tier 1 spill less than 7 tonnes; Tier 2 between 7 and 700 tonnes; Tier 3 greater than 700 tonnes of pollutant products in national waters.</t>
        </is>
      </c>
      <c r="G3" s="2" t="n">
        <v>0.75</v>
      </c>
      <c r="H3" s="2" t="inlineStr">
        <is>
          <t>Prime Minister's order adopted 16 July 2009 operationalising Decree 2006-322 (HASSMAR). Executive implementing regulation (≠1.0 law).</t>
        </is>
      </c>
      <c r="I3" s="2" t="n">
        <v>0.75</v>
      </c>
      <c r="J3" s="2" t="inlineStr">
        <is>
          <t>fisheries, industry, environment, municipalities, waste management</t>
        </is>
      </c>
      <c r="K3" s="2" t="n">
        <v>0.5</v>
      </c>
      <c r="L3" s="2" t="inlineStr">
        <is>
          <t>disposal, environmental leakage</t>
        </is>
      </c>
      <c r="M3" s="2" t="n">
        <v>0.5</v>
      </c>
      <c r="N3" s="2" t="inlineStr">
        <is>
          <t>Art. 80: POLMAR fund finances implementation costs; Art. 77: ship/shipowner bears assistance costs.</t>
        </is>
      </c>
      <c r="O3" s="3">
        <f>AVERAGE(G3,I3,K3,M3,P3)</f>
        <v/>
      </c>
      <c r="P3" s="2" t="n">
        <v>0.2</v>
      </c>
      <c r="Q3" s="2" t="inlineStr">
        <is>
          <t>Environmental leakage</t>
        </is>
      </c>
      <c r="R3" s="2" t="inlineStr">
        <is>
          <t>Arts. 11–12: port authorities and coastal local authorities must develop prevention and response plans for marine pollution; sectoral plans annexed to POLMAR.</t>
        </is>
      </c>
      <c r="S3" s="2" t="n">
        <v>1</v>
      </c>
      <c r="T3" s="2" t="n">
        <v>0.5</v>
      </c>
      <c r="U3" s="2" t="inlineStr">
        <is>
          <t>Art. 16: sectoral plans submitted for National Coordinator approval (+0.25 authority); Art. 12: local authorities acquire Tier 1/2 response means (+0.25 monitoring). No enforcement fines in plan.</t>
        </is>
      </c>
      <c r="V3" s="3">
        <f>AVERAGE(P3,T3)</f>
        <v/>
      </c>
      <c r="W3" s="2" t="inlineStr">
        <is>
          <t>Local/port plans — framework for coastal litter management.</t>
        </is>
      </c>
    </row>
    <row r="4">
      <c r="A4" s="2" t="inlineStr">
        <is>
          <t>Order No. 07022 of 16 July 2009 on organisation and operation of the National Marine Pollution Response Plan (POLMAR)</t>
        </is>
      </c>
      <c r="B4" s="2" t="inlineStr">
        <is>
          <t>https://www.hassmar.gouv.sn/sites/default/files/reglementations/PLAN%20POLMAR.pdf</t>
        </is>
      </c>
      <c r="C4" s="2" t="n">
        <v>2009</v>
      </c>
      <c r="D4" s="2" t="inlineStr">
        <is>
          <t>Organise national marine pollution preparedness and response (oil, chemicals, recovered waste) through HASSMAR/MRCC. Indirectly covers marine plastic waste via MARPOL 73/78 ship garbage reception, shoreline cleaning and recovered-waste treatment — no plastic-specific measures.</t>
        </is>
      </c>
      <c r="E4" s="2" t="n">
        <v>1</v>
      </c>
      <c r="F4" s="2" t="inlineStr">
        <is>
          <t>Arts. 69–71: Tier 1 spill less than 7 tonnes; Tier 2 between 7 and 700 tonnes; Tier 3 greater than 700 tonnes of pollutant products in national waters.</t>
        </is>
      </c>
      <c r="G4" s="2" t="n">
        <v>0.75</v>
      </c>
      <c r="H4" s="2" t="inlineStr">
        <is>
          <t>Prime Minister's order adopted 16 July 2009 operationalising Decree 2006-322 (HASSMAR). Executive implementing regulation (≠1.0 law).</t>
        </is>
      </c>
      <c r="I4" s="2" t="n">
        <v>0.75</v>
      </c>
      <c r="J4" s="2" t="inlineStr">
        <is>
          <t>fisheries, industry, environment, municipalities, waste management</t>
        </is>
      </c>
      <c r="K4" s="2" t="n">
        <v>0.5</v>
      </c>
      <c r="L4" s="2" t="inlineStr">
        <is>
          <t>disposal, environmental leakage</t>
        </is>
      </c>
      <c r="M4" s="2" t="n">
        <v>0.5</v>
      </c>
      <c r="N4" s="2" t="inlineStr">
        <is>
          <t>Art. 80: POLMAR fund finances implementation costs; Art. 77: ship/shipowner bears assistance costs.</t>
        </is>
      </c>
      <c r="O4" s="3">
        <f>AVERAGE(G4,I4,K4,M4,P4)</f>
        <v/>
      </c>
      <c r="P4" s="2" t="n">
        <v>1</v>
      </c>
      <c r="Q4" s="2" t="inlineStr">
        <is>
          <t>Environmental leakage</t>
        </is>
      </c>
      <c r="R4" s="2" t="inlineStr">
        <is>
          <t>Art. 84: response modes include recover spilled products, clean and restore the shoreline, and treat waste; terrestrial response on beaches and rivers by Regional Governor.</t>
        </is>
      </c>
      <c r="S4" s="2" t="n">
        <v>1</v>
      </c>
      <c r="T4" s="2" t="n">
        <v>0.75</v>
      </c>
      <c r="U4" s="2" t="inlineStr">
        <is>
          <t>Art. 86: polluter must lead initial response (+0.25 enforcement via polluter responsibility); Arts. 88–95: escalation procedures (+0.25 monitoring); HASSMAR/MRCC coordination (+0.25 authority).</t>
        </is>
      </c>
      <c r="V4" s="3">
        <f>AVERAGE(P4,T4)</f>
        <v/>
      </c>
      <c r="W4" s="2" t="inlineStr">
        <is>
          <t>Shoreline cleaning — relevant for coastal plastic litter.</t>
        </is>
      </c>
    </row>
    <row r="5">
      <c r="A5" s="2" t="inlineStr">
        <is>
          <t>Order No. 07022 of 16 July 2009 on organisation and operation of the National Marine Pollution Response Plan (POLMAR)</t>
        </is>
      </c>
      <c r="B5" s="2" t="inlineStr">
        <is>
          <t>https://www.hassmar.gouv.sn/sites/default/files/reglementations/PLAN%20POLMAR.pdf</t>
        </is>
      </c>
      <c r="C5" s="2" t="n">
        <v>2009</v>
      </c>
      <c r="D5" s="2" t="inlineStr">
        <is>
          <t>Organise national marine pollution preparedness and response (oil, chemicals, recovered waste) through HASSMAR/MRCC. Indirectly covers marine plastic waste via MARPOL 73/78 ship garbage reception, shoreline cleaning and recovered-waste treatment — no plastic-specific measures.</t>
        </is>
      </c>
      <c r="E5" s="2" t="n">
        <v>1</v>
      </c>
      <c r="F5" s="2" t="inlineStr">
        <is>
          <t>Arts. 69–71: Tier 1 spill less than 7 tonnes; Tier 2 between 7 and 700 tonnes; Tier 3 greater than 700 tonnes of pollutant products in national waters.</t>
        </is>
      </c>
      <c r="G5" s="2" t="n">
        <v>0.75</v>
      </c>
      <c r="H5" s="2" t="inlineStr">
        <is>
          <t>Prime Minister's order adopted 16 July 2009 operationalising Decree 2006-322 (HASSMAR). Executive implementing regulation (≠1.0 law).</t>
        </is>
      </c>
      <c r="I5" s="2" t="n">
        <v>0.75</v>
      </c>
      <c r="J5" s="2" t="inlineStr">
        <is>
          <t>fisheries, industry, environment, municipalities, waste management</t>
        </is>
      </c>
      <c r="K5" s="2" t="n">
        <v>0.5</v>
      </c>
      <c r="L5" s="2" t="inlineStr">
        <is>
          <t>disposal, environmental leakage</t>
        </is>
      </c>
      <c r="M5" s="2" t="n">
        <v>0.5</v>
      </c>
      <c r="N5" s="2" t="inlineStr">
        <is>
          <t>Art. 80: POLMAR fund finances implementation costs; Art. 77: ship/shipowner bears assistance costs.</t>
        </is>
      </c>
      <c r="O5" s="3">
        <f>AVERAGE(G5,I5,K5,M5,P5)</f>
        <v/>
      </c>
      <c r="P5" s="2" t="n">
        <v>0.8</v>
      </c>
      <c r="Q5" s="2" t="inlineStr">
        <is>
          <t>End of life</t>
        </is>
      </c>
      <c r="R5" s="2" t="inlineStr">
        <is>
          <t>Arts. 37, 79, 84: Environment Ministry coordinates waste treatment and site restoration; identifies provisional storage for pollutant products and polluted waste from response operations.</t>
        </is>
      </c>
      <c r="S5" s="2" t="n">
        <v>1</v>
      </c>
      <c r="T5" s="2" t="n">
        <v>0.5</v>
      </c>
      <c r="U5" s="2" t="inlineStr">
        <is>
          <t>Art. 37: Environment Ministry designated for waste treatment coordination (+0.25 authority); Arts. 40, 46, 57, 61: coastal storage at ports/industry (+0.25 monitoring). No penalties in plan text.</t>
        </is>
      </c>
      <c r="V5" s="3">
        <f>AVERAGE(P5,T5)</f>
        <v/>
      </c>
      <c r="W5" s="2" t="inlineStr">
        <is>
          <t>Recovered waste management — includes absorbent/polluted materials post-intervention.</t>
        </is>
      </c>
    </row>
    <row r="6">
      <c r="A6" s="2" t="inlineStr">
        <is>
          <t>Order No. 07022 of 16 July 2009 on organisation and operation of the National Marine Pollution Response Plan (POLMAR)</t>
        </is>
      </c>
      <c r="B6" s="2" t="inlineStr">
        <is>
          <t>https://www.hassmar.gouv.sn/sites/default/files/reglementations/PLAN%20POLMAR.pdf</t>
        </is>
      </c>
      <c r="C6" s="2" t="n">
        <v>2009</v>
      </c>
      <c r="D6" s="2" t="inlineStr">
        <is>
          <t>Organise national marine pollution preparedness and response (oil, chemicals, recovered waste) through HASSMAR/MRCC. Indirectly covers marine plastic waste via MARPOL 73/78 ship garbage reception, shoreline cleaning and recovered-waste treatment — no plastic-specific measures.</t>
        </is>
      </c>
      <c r="E6" s="2" t="n">
        <v>1</v>
      </c>
      <c r="F6" s="2" t="inlineStr">
        <is>
          <t>Arts. 69–71: Tier 1 spill less than 7 tonnes; Tier 2 between 7 and 700 tonnes; Tier 3 greater than 700 tonnes of pollutant products in national waters.</t>
        </is>
      </c>
      <c r="G6" s="2" t="n">
        <v>0.75</v>
      </c>
      <c r="H6" s="2" t="inlineStr">
        <is>
          <t>Prime Minister's order adopted 16 July 2009 operationalising Decree 2006-322 (HASSMAR). Executive implementing regulation (≠1.0 law).</t>
        </is>
      </c>
      <c r="I6" s="2" t="n">
        <v>0.75</v>
      </c>
      <c r="J6" s="2" t="inlineStr">
        <is>
          <t>fisheries, industry, environment, municipalities, waste management</t>
        </is>
      </c>
      <c r="K6" s="2" t="n">
        <v>0.5</v>
      </c>
      <c r="L6" s="2" t="inlineStr">
        <is>
          <t>disposal, environmental leakage</t>
        </is>
      </c>
      <c r="M6" s="2" t="n">
        <v>0.5</v>
      </c>
      <c r="N6" s="2" t="inlineStr">
        <is>
          <t>Art. 80: POLMAR fund finances implementation costs; Art. 77: ship/shipowner bears assistance costs.</t>
        </is>
      </c>
      <c r="O6" s="3">
        <f>AVERAGE(G6,I6,K6,M6,P6)</f>
        <v/>
      </c>
      <c r="P6" s="2" t="n">
        <v>0.2</v>
      </c>
      <c r="Q6" s="2" t="inlineStr">
        <is>
          <t>Environmental leakage</t>
        </is>
      </c>
      <c r="R6" s="2" t="inlineStr">
        <is>
          <t>Arts. 17–28: HASSMAR Secretary-General as National Coordinator; MRCC Dakar and regional secondary centres; national and local coordination committees for marine pollution response.</t>
        </is>
      </c>
      <c r="S6" s="2" t="n">
        <v>1</v>
      </c>
      <c r="T6" s="2" t="n">
        <v>0.5</v>
      </c>
      <c r="U6" s="2" t="inlineStr">
        <is>
          <t>Art. 29: National Coordinator approves decontamination companies, maintains early-warning system (+0.25 authority, +0.25 monitoring). Complements CENPOLMAR (2021).</t>
        </is>
      </c>
      <c r="V6" s="3">
        <f>AVERAGE(P6,T6)</f>
        <v/>
      </c>
      <c r="W6" s="2" t="inlineStr">
        <is>
          <t>Institutional coordination — not plastic-specific but enables marine waste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2026-07-23T10:30:37Z</dcterms:created>
  <dcterms:modified xmlns:dcterms="http://purl.org/dc/terms/" xmlns:xsi="http://www.w3.org/2001/XMLSchema-instance" xsi:type="dcterms:W3CDTF">2026-07-23T10:30:37Z</dcterms:modified>
</cp:coreProperties>
</file>